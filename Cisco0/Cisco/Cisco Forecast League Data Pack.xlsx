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defaultThemeVersion="166925"/>
  <mc:AlternateContent xmlns:mc="http://schemas.openxmlformats.org/markup-compatibility/2006">
    <mc:Choice Requires="x15">
      <x15ac:absPath xmlns:x15ac="http://schemas.microsoft.com/office/spreadsheetml/2010/11/ac" url="https://cisco-my.sharepoint.com/personal/naybhatt_cisco_com/Documents/Desktop/"/>
    </mc:Choice>
  </mc:AlternateContent>
  <xr:revisionPtr revIDLastSave="0" documentId="8_{76FBB7C7-2F10-462C-8AAE-E5704F0B194B}" xr6:coauthVersionLast="47" xr6:coauthVersionMax="47" xr10:uidLastSave="{00000000-0000-0000-0000-000000000000}"/>
  <bookViews>
    <workbookView xWindow="-98" yWindow="-98" windowWidth="21795" windowHeight="12975" xr2:uid="{3352E3D9-EB28-4D13-ADB6-AF103A7721DA}"/>
  </bookViews>
  <sheets>
    <sheet name="Glossary" sheetId="3" r:id="rId1"/>
    <sheet name="Data Pack" sheetId="4" r:id="rId2"/>
  </sheets>
  <definedNames>
    <definedName name="_xlnm._FilterDatabase" localSheetId="1" hidden="1">'Data Pack'!$A$3:$EV$3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3" l="1"/>
  <c r="G4" i="3" s="1"/>
  <c r="H5" i="3"/>
  <c r="G5" i="3" s="1"/>
  <c r="H6" i="3"/>
  <c r="G6" i="3" s="1"/>
  <c r="H7" i="3"/>
  <c r="G7" i="3" s="1"/>
  <c r="H8" i="3"/>
  <c r="G8" i="3" s="1"/>
  <c r="H3" i="3"/>
  <c r="G3" i="3" s="1"/>
</calcChain>
</file>

<file path=xl/sharedStrings.xml><?xml version="1.0" encoding="utf-8"?>
<sst xmlns="http://schemas.openxmlformats.org/spreadsheetml/2006/main" count="187" uniqueCount="102">
  <si>
    <t>Product Name</t>
  </si>
  <si>
    <t>Broad classification of Product</t>
  </si>
  <si>
    <t>Accuracy Calculation Examples</t>
  </si>
  <si>
    <t>Fiscal Qtr</t>
  </si>
  <si>
    <t xml:space="preserve">Cisco Fiscal Calendar is divided into 4 Qtrs </t>
  </si>
  <si>
    <t xml:space="preserve"> PRODUCT</t>
  </si>
  <si>
    <t xml:space="preserve">Forecast </t>
  </si>
  <si>
    <t>Booking Actuals</t>
  </si>
  <si>
    <t>Accuracy</t>
  </si>
  <si>
    <t>Bias</t>
  </si>
  <si>
    <t>Q1</t>
  </si>
  <si>
    <t>Quarter 1 - August to October</t>
  </si>
  <si>
    <t>A</t>
  </si>
  <si>
    <t>Q2</t>
  </si>
  <si>
    <t xml:space="preserve">Quarter 2 - November to January </t>
  </si>
  <si>
    <t>B</t>
  </si>
  <si>
    <t>Q3</t>
  </si>
  <si>
    <t>Quarter 3 - February to April</t>
  </si>
  <si>
    <t>C</t>
  </si>
  <si>
    <t>Q4</t>
  </si>
  <si>
    <t>Quarter 4 - May to July</t>
  </si>
  <si>
    <t>D</t>
  </si>
  <si>
    <t>Units</t>
  </si>
  <si>
    <t>Number of individual products booked</t>
  </si>
  <si>
    <t>E</t>
  </si>
  <si>
    <t xml:space="preserve">Demand Planners Forecast </t>
  </si>
  <si>
    <t>Demand Planner's Preliminary prediction in previous quarter for next quarter</t>
  </si>
  <si>
    <t>F</t>
  </si>
  <si>
    <t xml:space="preserve">Marketing teams Forecast </t>
  </si>
  <si>
    <t xml:space="preserve">Forecast loaded by Marketing teams </t>
  </si>
  <si>
    <t>Statistical and ML Forecast</t>
  </si>
  <si>
    <t>Forecast stream derived using Statistical and Machine Learning methods</t>
  </si>
  <si>
    <t>BIAS</t>
  </si>
  <si>
    <t xml:space="preserve">Prediction bias is the systematic deviation between estimated and actual values. It is useful to see if you tend to overestimate (BIAS &gt; 0) or underestimate your predictions (BIAS &lt; 0) for all your items. Formula: (Forecast Booking units - Actual Booking units)/Actual Booking Units.
</t>
  </si>
  <si>
    <t xml:space="preserve">Forecast accuracy is the degree of difference between the forecasted demand and the actual order booking. In this case, between Forecasted demand and Actual Booked units. At a product level accuracy is calculated using the formula:MAX(0,1-ABSOLUTE(BIAS))
To calculate overall accuracy for 20 products we will calculate weighted accuracy using product cost to make sure high cost product accuracy gets more weightage than low cost product. </t>
  </si>
  <si>
    <t>Product Life Cycle (PLC)</t>
  </si>
  <si>
    <t>Sustaining - Product has reached maturity and has steady demamd.
NPI - Product has been newly introduced to the market/customer
Decline - Product experiences reduced demand, declining sales and potential obsolescence due to newer technologies or market changes</t>
  </si>
  <si>
    <t xml:space="preserve">Cost Weighted Rank </t>
  </si>
  <si>
    <t>Calculated using cost of individual product X CBP Prelim forecast</t>
  </si>
  <si>
    <t xml:space="preserve">Product Insights </t>
  </si>
  <si>
    <t xml:space="preserve">SWITCH Enterprise Ultra High </t>
  </si>
  <si>
    <t>These are enterprise UPoE switches with high port count</t>
  </si>
  <si>
    <t xml:space="preserve">SWITCH Enterprise High </t>
  </si>
  <si>
    <t>These are enterprise PoE switches with high port count</t>
  </si>
  <si>
    <t>SWITCH Enterprise Low</t>
  </si>
  <si>
    <t>These are enterprise compact, non PoE switches with low port count</t>
  </si>
  <si>
    <t>SWITCH Data Center High</t>
  </si>
  <si>
    <t>These are switches made for data center operations with high downlink / uplink speed</t>
  </si>
  <si>
    <t>SWITCH Data Center Mid</t>
  </si>
  <si>
    <t>These are switches made for data center operations with moderate downlink / uplink speed</t>
  </si>
  <si>
    <t xml:space="preserve">ROUTER Enterprise Mid </t>
  </si>
  <si>
    <t>These are well suited for small and medium-sized enterprise branch offices at optimal price/performance with integrated SD-WAN and SD-Routing services.</t>
  </si>
  <si>
    <t xml:space="preserve">ROUTER Enterprise Low </t>
  </si>
  <si>
    <t>Combines a router, a switch, and a high-speed wireless access point into one compact device, perfect for small offices, or for anywhere that performance is key with limited space.</t>
  </si>
  <si>
    <t>TRANSCEIVER MODULE High</t>
  </si>
  <si>
    <t>Made for data center interconnects, supporting high-speed, reliable data transmission for applications like large-scale data transfer, cloud computing, and high-frequency trading.</t>
  </si>
  <si>
    <t>TRANSCEIVER MODULE Mid</t>
  </si>
  <si>
    <t>Ideal for short-reach data center connection supporting 40/100 Gbps for efficient bandwidth upgrades in virtualized and data-intensive environments.</t>
  </si>
  <si>
    <t>POWER SUPPLY High</t>
  </si>
  <si>
    <t>Ideal for enterprise networks, It powers PoE devices like IP phones and access points, ensuring reliable operation in scalable, high-availability environments.</t>
  </si>
  <si>
    <t>POWER SUPPLY Mid</t>
  </si>
  <si>
    <t>Ideal for medium-sized enterprise networks, It powers PoE devices like IP phones and cameras, ensuring connectivity and stability in office and campus environments.</t>
  </si>
  <si>
    <t>ACCESS POINT High</t>
  </si>
  <si>
    <t>It is a state-of-the-art wireless access point designed for high-density environments, providing superior performance and security. It supports the latest Wi-Fi standards to deliver fast and reliable wireless connectivity, ensuring seamless integration into enterprise networks.</t>
  </si>
  <si>
    <t>ACCESS POINT Mid</t>
  </si>
  <si>
    <t>This is a high-performance enterprise wireless access point that ensures fast, secure connectivity, ideal for corporate offices, educational institutions, healthcare facilities, and retail environments.</t>
  </si>
  <si>
    <t xml:space="preserve">SERVER </t>
  </si>
  <si>
    <t>Cisco’s Unified Computing System (UCS) designed for modern data center environments. Ideal for virtualization, large-scale databases, big data analytics, and mission-critical enterprise applications, offering robust processing, ample memory, and high availability</t>
  </si>
  <si>
    <t xml:space="preserve">PROCESSOR </t>
  </si>
  <si>
    <t>CPU module intended for use within Cisco's UCS (Unified Computing System) servers. Ideal for enhancing processing capabilities in data centers, supporting virtualization, large-scale databases, and other compute-intensive applications.</t>
  </si>
  <si>
    <t xml:space="preserve">MEMORY </t>
  </si>
  <si>
    <t>These are memory module designed for use in Cisco's Unified Computing System (UCS) servers. Ideal for enhancing server performance in data centers, supporting applications that require large memory capacities and fast data processing speeds.</t>
  </si>
  <si>
    <t>ACTUAL UNITS</t>
  </si>
  <si>
    <t xml:space="preserve">                                    Forecasted Units </t>
  </si>
  <si>
    <t>Cost Rank</t>
  </si>
  <si>
    <t xml:space="preserve">Product Name </t>
  </si>
  <si>
    <t>Product Life Cycle</t>
  </si>
  <si>
    <t>Your Forecast FY25 Q2</t>
  </si>
  <si>
    <t>Demand Planners Forecast</t>
  </si>
  <si>
    <t xml:space="preserve">Marketing Teams Forecast </t>
  </si>
  <si>
    <t>FY22 Q2</t>
  </si>
  <si>
    <t>FY22 Q3</t>
  </si>
  <si>
    <t>FY22 Q4</t>
  </si>
  <si>
    <t>FY23 Q1</t>
  </si>
  <si>
    <t>FY23 Q2</t>
  </si>
  <si>
    <t>FY23 Q3</t>
  </si>
  <si>
    <t>FY23 Q4</t>
  </si>
  <si>
    <t>FY24 Q1</t>
  </si>
  <si>
    <t>FY24 Q2</t>
  </si>
  <si>
    <t>FY24 Q3</t>
  </si>
  <si>
    <t>FY24 Q4</t>
  </si>
  <si>
    <t>FY25 Q1</t>
  </si>
  <si>
    <t xml:space="preserve">                                          FY25 Q2</t>
  </si>
  <si>
    <t>Sustaining</t>
  </si>
  <si>
    <t>Decline</t>
  </si>
  <si>
    <t>NPI</t>
  </si>
  <si>
    <t>Demand Planning Team's Forecast Accuracy</t>
  </si>
  <si>
    <t>Marketing Team's Forecast Accuracy</t>
  </si>
  <si>
    <t>STAT and ML Team's Forecast Accuracy</t>
  </si>
  <si>
    <t>FY2025 Q1</t>
  </si>
  <si>
    <t>FY2024 Q4</t>
  </si>
  <si>
    <t>FY2024 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</si>
</sst>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2">
    <font>
      <sz val="11"/>
      <color theme="1"/>
      <name val="Calibri"/>
      <family val="2"/>
      <scheme val="minor"/>
    </font>
    <font>
      <sz val="11"/>
      <color theme="1"/>
      <name val="Calibri"/>
      <family val="2"/>
      <scheme val="minor"/>
    </font>
    <font>
      <sz val="11"/>
      <color theme="1"/>
      <name val="CiscoSansTT ExtraLight"/>
      <family val="2"/>
    </font>
    <font>
      <sz val="10"/>
      <color theme="1"/>
      <name val="CiscoSansTT ExtraLight"/>
      <family val="2"/>
    </font>
    <font>
      <b/>
      <sz val="10"/>
      <color theme="1"/>
      <name val="CiscoSansTT ExtraLight"/>
      <family val="2"/>
    </font>
    <font>
      <b/>
      <sz val="11"/>
      <color theme="1"/>
      <name val="CiscoSansTT ExtraLight"/>
      <family val="2"/>
    </font>
    <font>
      <sz val="11"/>
      <color indexed="8"/>
      <name val="Calibri"/>
      <family val="2"/>
      <scheme val="minor"/>
    </font>
    <font>
      <sz val="10"/>
      <name val="CiscoSansTT ExtraLight"/>
      <family val="2"/>
    </font>
    <font>
      <sz val="9"/>
      <color theme="1"/>
      <name val="CiscoSansTT ExtraLight"/>
      <family val="2"/>
    </font>
    <font>
      <b/>
      <sz val="9"/>
      <color theme="0"/>
      <name val="CiscoSansTT ExtraLight"/>
      <family val="2"/>
    </font>
    <font>
      <b/>
      <sz val="9"/>
      <name val="CiscoSansTT ExtraLight"/>
      <family val="2"/>
    </font>
    <font>
      <sz val="9"/>
      <color theme="0"/>
      <name val="Calibri"/>
      <family val="2"/>
      <scheme val="minor"/>
    </font>
    <font>
      <sz val="12"/>
      <color theme="0"/>
      <name val="Calibri"/>
      <family val="2"/>
      <scheme val="minor"/>
    </font>
    <font>
      <sz val="12"/>
      <color rgb="FF002060"/>
      <name val="CiscoSansTT ExtraLight"/>
      <family val="2"/>
    </font>
    <font>
      <sz val="9"/>
      <color rgb="FF002060"/>
      <name val="CiscoSansTT ExtraLight"/>
      <family val="2"/>
    </font>
    <font>
      <sz val="9"/>
      <name val="Calibri"/>
      <family val="2"/>
      <scheme val="minor"/>
    </font>
    <font>
      <sz val="11"/>
      <name val="CiscoSansTT ExtraLight"/>
      <family val="2"/>
    </font>
    <font>
      <sz val="9"/>
      <name val="CiscoSansTT ExtraLight"/>
      <family val="2"/>
    </font>
    <font>
      <sz val="9"/>
      <name val="Calibri Light"/>
      <family val="2"/>
      <scheme val="major"/>
    </font>
    <font>
      <sz val="12"/>
      <name val="Calibri"/>
      <family val="2"/>
      <scheme val="minor"/>
    </font>
    <font>
      <sz val="10"/>
      <color theme="1"/>
      <name val="CiscoSansTT ExtraLight"/>
    </font>
    <font>
      <b/>
      <sz val="16"/>
      <color theme="0"/>
      <name val="CiscoSansTT ExtraLight"/>
      <family val="2"/>
    </font>
  </fonts>
  <fills count="16">
    <fill>
      <patternFill patternType="none"/>
    </fill>
    <fill>
      <patternFill patternType="gray125"/>
    </fill>
    <fill>
      <patternFill patternType="solid">
        <fgColor theme="8" tint="-0.249977111117893"/>
        <bgColor indexed="64"/>
      </patternFill>
    </fill>
    <fill>
      <patternFill patternType="solid">
        <fgColor theme="7" tint="0.39997558519241921"/>
        <bgColor indexed="64"/>
      </patternFill>
    </fill>
    <fill>
      <patternFill patternType="solid">
        <fgColor rgb="FF002060"/>
        <bgColor indexed="64"/>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8"/>
        <bgColor indexed="64"/>
      </patternFill>
    </fill>
    <fill>
      <patternFill patternType="solid">
        <fgColor theme="1" tint="0.499984740745262"/>
        <bgColor theme="4" tint="0.79998168889431442"/>
      </patternFill>
    </fill>
    <fill>
      <patternFill patternType="solid">
        <fgColor theme="1" tint="0.49998474074526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s>
  <cellStyleXfs count="7">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0" fontId="6" fillId="0" borderId="0"/>
    <xf numFmtId="0" fontId="1" fillId="0" borderId="0"/>
    <xf numFmtId="0" fontId="1" fillId="0" borderId="0"/>
  </cellStyleXfs>
  <cellXfs count="66">
    <xf numFmtId="0" fontId="0" fillId="0" borderId="0" xfId="0"/>
    <xf numFmtId="1" fontId="3" fillId="0" borderId="1" xfId="0" applyNumberFormat="1" applyFont="1" applyBorder="1"/>
    <xf numFmtId="10" fontId="3" fillId="0" borderId="1" xfId="2" applyNumberFormat="1" applyFont="1" applyBorder="1"/>
    <xf numFmtId="9" fontId="3" fillId="0" borderId="1" xfId="2" applyFont="1" applyBorder="1"/>
    <xf numFmtId="0" fontId="3" fillId="0" borderId="0" xfId="0" applyFont="1"/>
    <xf numFmtId="0" fontId="5" fillId="0" borderId="0" xfId="0" applyFont="1"/>
    <xf numFmtId="0" fontId="2" fillId="0" borderId="0" xfId="0" applyFont="1"/>
    <xf numFmtId="0" fontId="3" fillId="0" borderId="1" xfId="0" applyFont="1" applyBorder="1"/>
    <xf numFmtId="1" fontId="9" fillId="2" borderId="1" xfId="3" applyNumberFormat="1" applyFont="1" applyFill="1" applyBorder="1" applyAlignment="1">
      <alignment horizontal="left" wrapText="1"/>
    </xf>
    <xf numFmtId="1" fontId="10" fillId="3" borderId="1" xfId="3" applyNumberFormat="1" applyFont="1" applyFill="1" applyBorder="1" applyAlignment="1">
      <alignment horizontal="left" wrapText="1"/>
    </xf>
    <xf numFmtId="0" fontId="9" fillId="2" borderId="1" xfId="3" applyFont="1" applyFill="1" applyBorder="1" applyAlignment="1">
      <alignment horizontal="left" wrapText="1"/>
    </xf>
    <xf numFmtId="1" fontId="3" fillId="0" borderId="0" xfId="0" applyNumberFormat="1" applyFont="1"/>
    <xf numFmtId="1" fontId="5" fillId="0" borderId="0" xfId="0" applyNumberFormat="1" applyFont="1"/>
    <xf numFmtId="0" fontId="4" fillId="0" borderId="1" xfId="0" applyFont="1" applyBorder="1"/>
    <xf numFmtId="0" fontId="3" fillId="0" borderId="1" xfId="0" applyFont="1" applyBorder="1" applyAlignment="1">
      <alignment wrapText="1"/>
    </xf>
    <xf numFmtId="0" fontId="4" fillId="0" borderId="1" xfId="0" applyFont="1" applyBorder="1" applyAlignment="1">
      <alignment wrapText="1"/>
    </xf>
    <xf numFmtId="0" fontId="15" fillId="9" borderId="2" xfId="0" applyFont="1" applyFill="1" applyBorder="1" applyAlignment="1">
      <alignment vertical="center"/>
    </xf>
    <xf numFmtId="0" fontId="15" fillId="9" borderId="2" xfId="0" applyFont="1" applyFill="1" applyBorder="1"/>
    <xf numFmtId="0" fontId="11" fillId="0" borderId="2" xfId="0" applyFont="1" applyBorder="1"/>
    <xf numFmtId="0" fontId="11" fillId="4" borderId="2" xfId="0" applyFont="1" applyFill="1" applyBorder="1"/>
    <xf numFmtId="0" fontId="13" fillId="8" borderId="2" xfId="3" applyFont="1" applyFill="1" applyBorder="1" applyAlignment="1">
      <alignment vertical="center" wrapText="1"/>
    </xf>
    <xf numFmtId="1" fontId="13" fillId="5" borderId="2" xfId="0" applyNumberFormat="1" applyFont="1" applyFill="1" applyBorder="1" applyAlignment="1">
      <alignment vertical="center" wrapText="1"/>
    </xf>
    <xf numFmtId="1" fontId="13" fillId="6" borderId="2" xfId="0" applyNumberFormat="1" applyFont="1" applyFill="1" applyBorder="1" applyAlignment="1">
      <alignment vertical="center" wrapText="1"/>
    </xf>
    <xf numFmtId="1" fontId="13" fillId="7" borderId="2" xfId="0" applyNumberFormat="1" applyFont="1" applyFill="1" applyBorder="1" applyAlignment="1">
      <alignment vertical="center" wrapText="1"/>
    </xf>
    <xf numFmtId="0" fontId="19" fillId="9" borderId="2" xfId="0" applyFont="1" applyFill="1" applyBorder="1"/>
    <xf numFmtId="0" fontId="12" fillId="0" borderId="2" xfId="0" applyFont="1" applyBorder="1"/>
    <xf numFmtId="0" fontId="12" fillId="4" borderId="2" xfId="0" applyFont="1" applyFill="1" applyBorder="1"/>
    <xf numFmtId="0" fontId="17" fillId="9" borderId="2" xfId="0" applyFont="1" applyFill="1" applyBorder="1" applyAlignment="1">
      <alignment horizontal="center"/>
    </xf>
    <xf numFmtId="0" fontId="17" fillId="9" borderId="2" xfId="0" applyFont="1" applyFill="1" applyBorder="1"/>
    <xf numFmtId="1" fontId="17" fillId="9" borderId="2" xfId="0" applyNumberFormat="1" applyFont="1" applyFill="1" applyBorder="1" applyAlignment="1">
      <alignment vertical="center"/>
    </xf>
    <xf numFmtId="1" fontId="17" fillId="9" borderId="2" xfId="1" applyNumberFormat="1" applyFont="1" applyFill="1" applyBorder="1" applyAlignment="1">
      <alignment horizontal="center" vertical="center" wrapText="1"/>
    </xf>
    <xf numFmtId="0" fontId="17" fillId="9" borderId="2" xfId="0" applyFont="1" applyFill="1" applyBorder="1" applyAlignment="1">
      <alignment horizontal="center" vertical="center"/>
    </xf>
    <xf numFmtId="0" fontId="17" fillId="9" borderId="2" xfId="0" applyFont="1" applyFill="1" applyBorder="1" applyAlignment="1">
      <alignment vertical="center"/>
    </xf>
    <xf numFmtId="0" fontId="11" fillId="0" borderId="2" xfId="0" applyFont="1" applyBorder="1" applyAlignment="1">
      <alignment vertical="center"/>
    </xf>
    <xf numFmtId="0" fontId="11" fillId="4" borderId="2" xfId="0" applyFont="1" applyFill="1" applyBorder="1" applyAlignment="1">
      <alignment vertical="center"/>
    </xf>
    <xf numFmtId="0" fontId="15" fillId="12" borderId="2" xfId="0" applyFont="1" applyFill="1" applyBorder="1" applyAlignment="1">
      <alignment vertical="center"/>
    </xf>
    <xf numFmtId="0" fontId="15" fillId="14" borderId="2" xfId="0" applyFont="1" applyFill="1" applyBorder="1"/>
    <xf numFmtId="0" fontId="11" fillId="14" borderId="2" xfId="0" applyFont="1" applyFill="1" applyBorder="1"/>
    <xf numFmtId="0" fontId="17" fillId="15" borderId="2" xfId="0" applyFont="1" applyFill="1" applyBorder="1"/>
    <xf numFmtId="0" fontId="11" fillId="15" borderId="2" xfId="0" applyFont="1" applyFill="1" applyBorder="1"/>
    <xf numFmtId="1" fontId="17" fillId="9" borderId="2" xfId="0" applyNumberFormat="1" applyFont="1" applyFill="1" applyBorder="1"/>
    <xf numFmtId="1" fontId="17" fillId="9" borderId="2" xfId="0" applyNumberFormat="1" applyFont="1" applyFill="1" applyBorder="1" applyAlignment="1">
      <alignment horizontal="center"/>
    </xf>
    <xf numFmtId="10" fontId="17" fillId="9" borderId="2" xfId="2" applyNumberFormat="1" applyFont="1" applyFill="1" applyBorder="1" applyAlignment="1">
      <alignment horizontal="center"/>
    </xf>
    <xf numFmtId="10" fontId="15" fillId="9" borderId="2" xfId="2" applyNumberFormat="1" applyFont="1" applyFill="1" applyBorder="1" applyAlignment="1">
      <alignment horizontal="center"/>
    </xf>
    <xf numFmtId="0" fontId="15" fillId="9" borderId="2" xfId="0" applyFont="1" applyFill="1" applyBorder="1" applyAlignment="1">
      <alignment horizontal="center"/>
    </xf>
    <xf numFmtId="164" fontId="18" fillId="9" borderId="2" xfId="1" applyNumberFormat="1" applyFont="1" applyFill="1" applyBorder="1" applyAlignment="1">
      <alignment horizontal="center"/>
    </xf>
    <xf numFmtId="164" fontId="15" fillId="9" borderId="2" xfId="0" applyNumberFormat="1" applyFont="1" applyFill="1" applyBorder="1" applyAlignment="1">
      <alignment horizontal="center"/>
    </xf>
    <xf numFmtId="44" fontId="17" fillId="9" borderId="2" xfId="1" applyFont="1" applyFill="1" applyBorder="1" applyAlignment="1">
      <alignment horizontal="center" vertical="center" wrapText="1"/>
    </xf>
    <xf numFmtId="0" fontId="20" fillId="0" borderId="1" xfId="0" applyFont="1" applyBorder="1" applyAlignment="1">
      <alignment wrapText="1"/>
    </xf>
    <xf numFmtId="0" fontId="0" fillId="0" borderId="0" xfId="0" applyAlignment="1">
      <alignment wrapText="1"/>
    </xf>
    <xf numFmtId="0" fontId="4" fillId="0" borderId="0" xfId="0" applyFont="1"/>
    <xf numFmtId="1" fontId="21" fillId="2" borderId="1" xfId="3" applyNumberFormat="1" applyFont="1" applyFill="1" applyBorder="1" applyAlignment="1">
      <alignment horizontal="left" wrapText="1"/>
    </xf>
    <xf numFmtId="0" fontId="9" fillId="13" borderId="2" xfId="0" applyFont="1" applyFill="1" applyBorder="1" applyAlignment="1">
      <alignment horizontal="center" vertical="center" wrapText="1"/>
    </xf>
    <xf numFmtId="0" fontId="17" fillId="9" borderId="2" xfId="0" applyFont="1" applyFill="1" applyBorder="1" applyAlignment="1">
      <alignment horizontal="center"/>
    </xf>
    <xf numFmtId="9" fontId="14" fillId="5" borderId="2" xfId="2" applyFont="1" applyFill="1" applyBorder="1" applyAlignment="1">
      <alignment horizontal="center"/>
    </xf>
    <xf numFmtId="9" fontId="8" fillId="6" borderId="2" xfId="2" applyFont="1" applyFill="1" applyBorder="1" applyAlignment="1">
      <alignment horizontal="center"/>
    </xf>
    <xf numFmtId="9" fontId="8" fillId="7" borderId="2" xfId="2" applyFont="1" applyFill="1" applyBorder="1" applyAlignment="1">
      <alignment horizontal="center"/>
    </xf>
    <xf numFmtId="0" fontId="17" fillId="9" borderId="3" xfId="0" applyFont="1" applyFill="1" applyBorder="1" applyAlignment="1">
      <alignment horizontal="center"/>
    </xf>
    <xf numFmtId="0" fontId="17" fillId="9" borderId="4" xfId="0" applyFont="1" applyFill="1" applyBorder="1" applyAlignment="1">
      <alignment horizontal="center"/>
    </xf>
    <xf numFmtId="0" fontId="9" fillId="13" borderId="2" xfId="0" applyFont="1" applyFill="1" applyBorder="1" applyAlignment="1">
      <alignment horizontal="left" vertical="center" wrapText="1"/>
    </xf>
    <xf numFmtId="0" fontId="7" fillId="10" borderId="2" xfId="0" applyFont="1" applyFill="1" applyBorder="1" applyAlignment="1">
      <alignment horizontal="left"/>
    </xf>
    <xf numFmtId="44" fontId="16" fillId="12" borderId="5" xfId="1" applyFont="1" applyFill="1" applyBorder="1" applyAlignment="1">
      <alignment horizontal="center" vertical="center" wrapText="1"/>
    </xf>
    <xf numFmtId="44" fontId="16" fillId="12" borderId="6" xfId="1" applyFont="1" applyFill="1" applyBorder="1" applyAlignment="1">
      <alignment horizontal="center" vertical="center" wrapText="1"/>
    </xf>
    <xf numFmtId="1" fontId="16" fillId="12" borderId="2" xfId="1" applyNumberFormat="1" applyFont="1" applyFill="1" applyBorder="1" applyAlignment="1">
      <alignment horizontal="center" vertical="center" wrapText="1"/>
    </xf>
    <xf numFmtId="44" fontId="16" fillId="12" borderId="2" xfId="1" applyFont="1" applyFill="1" applyBorder="1" applyAlignment="1">
      <alignment horizontal="center" vertical="center" wrapText="1"/>
    </xf>
    <xf numFmtId="0" fontId="16" fillId="11" borderId="2" xfId="0" applyFont="1" applyFill="1" applyBorder="1" applyAlignment="1">
      <alignment horizontal="center" vertical="center"/>
    </xf>
  </cellXfs>
  <cellStyles count="7">
    <cellStyle name="Currency" xfId="1" builtinId="4"/>
    <cellStyle name="Normal" xfId="0" builtinId="0"/>
    <cellStyle name="Normal 2" xfId="5" xr:uid="{B9D3C1AE-8634-4F76-97A8-13A9A02FCBB9}"/>
    <cellStyle name="Normal 3" xfId="6" xr:uid="{D637D235-AAEA-418E-8EBE-EBD03C222C4F}"/>
    <cellStyle name="Normal 3 2" xfId="4" xr:uid="{8DA63456-06AF-4E56-9C9D-B804013BF27F}"/>
    <cellStyle name="Normal 4" xfId="3" xr:uid="{D128AA20-834B-4AD5-9608-01281ECDFB2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F8180-BC25-4F57-BD35-AA7041323F1F}">
  <dimension ref="A1:H32"/>
  <sheetViews>
    <sheetView tabSelected="1" workbookViewId="0">
      <selection activeCell="B13" sqref="B13"/>
    </sheetView>
  </sheetViews>
  <sheetFormatPr defaultColWidth="8.5703125" defaultRowHeight="13.5"/>
  <cols>
    <col min="1" max="1" width="31.85546875" style="4" customWidth="1"/>
    <col min="2" max="2" width="71.42578125" style="4" customWidth="1"/>
    <col min="3" max="3" width="4.5703125" style="4" customWidth="1"/>
    <col min="4" max="4" width="10" style="4" customWidth="1"/>
    <col min="5" max="5" width="12" style="11" customWidth="1"/>
    <col min="6" max="6" width="12.140625" style="4" customWidth="1"/>
    <col min="7" max="7" width="10" style="4" customWidth="1"/>
    <col min="8" max="8" width="8.5703125" style="4"/>
    <col min="9" max="16384" width="8.5703125" style="6"/>
  </cols>
  <sheetData>
    <row r="1" spans="1:8" ht="13.9">
      <c r="A1" s="13" t="s">
        <v>0</v>
      </c>
      <c r="B1" s="7" t="s">
        <v>1</v>
      </c>
      <c r="D1" s="5" t="s">
        <v>2</v>
      </c>
      <c r="E1" s="12"/>
      <c r="F1" s="5"/>
    </row>
    <row r="2" spans="1:8" ht="23.65">
      <c r="A2" s="13" t="s">
        <v>3</v>
      </c>
      <c r="B2" s="14" t="s">
        <v>4</v>
      </c>
      <c r="D2" s="8" t="s">
        <v>5</v>
      </c>
      <c r="E2" s="9" t="s">
        <v>6</v>
      </c>
      <c r="F2" s="8" t="s">
        <v>7</v>
      </c>
      <c r="G2" s="10" t="s">
        <v>8</v>
      </c>
      <c r="H2" s="10" t="s">
        <v>9</v>
      </c>
    </row>
    <row r="3" spans="1:8" ht="13.9">
      <c r="A3" s="13" t="s">
        <v>10</v>
      </c>
      <c r="B3" s="7" t="s">
        <v>11</v>
      </c>
      <c r="D3" s="7" t="s">
        <v>12</v>
      </c>
      <c r="E3" s="1">
        <v>1800</v>
      </c>
      <c r="F3" s="1">
        <v>450</v>
      </c>
      <c r="G3" s="2">
        <f>IFERROR(MAX(0,1-ABS(H3)),0)</f>
        <v>0</v>
      </c>
      <c r="H3" s="3">
        <f>(E3-F3)/F3</f>
        <v>3</v>
      </c>
    </row>
    <row r="4" spans="1:8" ht="13.9">
      <c r="A4" s="13" t="s">
        <v>13</v>
      </c>
      <c r="B4" s="7" t="s">
        <v>14</v>
      </c>
      <c r="D4" s="7" t="s">
        <v>15</v>
      </c>
      <c r="E4" s="1">
        <v>1800</v>
      </c>
      <c r="F4" s="1">
        <v>20000</v>
      </c>
      <c r="G4" s="2">
        <f t="shared" ref="G4:G8" si="0">IFERROR(MAX(0,1-ABS(H4)),0)</f>
        <v>8.9999999999999969E-2</v>
      </c>
      <c r="H4" s="3">
        <f t="shared" ref="H4:H8" si="1">(E4-F4)/F4</f>
        <v>-0.91</v>
      </c>
    </row>
    <row r="5" spans="1:8" ht="13.9">
      <c r="A5" s="13" t="s">
        <v>16</v>
      </c>
      <c r="B5" s="7" t="s">
        <v>17</v>
      </c>
      <c r="D5" s="7" t="s">
        <v>18</v>
      </c>
      <c r="E5" s="1">
        <v>80300</v>
      </c>
      <c r="F5" s="1">
        <v>87298</v>
      </c>
      <c r="G5" s="2">
        <f t="shared" si="0"/>
        <v>0.91983779697129375</v>
      </c>
      <c r="H5" s="3">
        <f t="shared" si="1"/>
        <v>-8.0162203028706275E-2</v>
      </c>
    </row>
    <row r="6" spans="1:8" ht="13.9">
      <c r="A6" s="13" t="s">
        <v>19</v>
      </c>
      <c r="B6" s="7" t="s">
        <v>20</v>
      </c>
      <c r="D6" s="7" t="s">
        <v>21</v>
      </c>
      <c r="E6" s="1">
        <v>12800</v>
      </c>
      <c r="F6" s="1">
        <v>12207</v>
      </c>
      <c r="G6" s="2">
        <f t="shared" si="0"/>
        <v>0.95142131563856802</v>
      </c>
      <c r="H6" s="3">
        <f t="shared" si="1"/>
        <v>4.8578684361431965E-2</v>
      </c>
    </row>
    <row r="7" spans="1:8" ht="13.9">
      <c r="A7" s="13" t="s">
        <v>22</v>
      </c>
      <c r="B7" s="7" t="s">
        <v>23</v>
      </c>
      <c r="D7" s="7" t="s">
        <v>24</v>
      </c>
      <c r="E7" s="1">
        <v>68000</v>
      </c>
      <c r="F7" s="1">
        <v>51855</v>
      </c>
      <c r="G7" s="2">
        <f t="shared" si="0"/>
        <v>0.68865104618648154</v>
      </c>
      <c r="H7" s="3">
        <f t="shared" si="1"/>
        <v>0.31134895381351846</v>
      </c>
    </row>
    <row r="8" spans="1:8" ht="13.9">
      <c r="A8" s="15" t="s">
        <v>25</v>
      </c>
      <c r="B8" s="7" t="s">
        <v>26</v>
      </c>
      <c r="D8" s="7" t="s">
        <v>27</v>
      </c>
      <c r="E8" s="1">
        <v>7450</v>
      </c>
      <c r="F8" s="1">
        <v>10022</v>
      </c>
      <c r="G8" s="2">
        <f t="shared" si="0"/>
        <v>0.7433645978846537</v>
      </c>
      <c r="H8" s="3">
        <f t="shared" si="1"/>
        <v>-0.25663540211534625</v>
      </c>
    </row>
    <row r="9" spans="1:8" ht="13.9">
      <c r="A9" s="15" t="s">
        <v>28</v>
      </c>
      <c r="B9" s="7" t="s">
        <v>29</v>
      </c>
    </row>
    <row r="10" spans="1:8" ht="13.9">
      <c r="A10" s="15" t="s">
        <v>30</v>
      </c>
      <c r="B10" s="7" t="s">
        <v>31</v>
      </c>
      <c r="F10" s="11"/>
    </row>
    <row r="11" spans="1:8" ht="64.150000000000006">
      <c r="A11" s="13" t="s">
        <v>32</v>
      </c>
      <c r="B11" s="14" t="s">
        <v>33</v>
      </c>
    </row>
    <row r="12" spans="1:8" ht="89.65">
      <c r="A12" s="13" t="s">
        <v>8</v>
      </c>
      <c r="B12" s="14" t="s">
        <v>34</v>
      </c>
    </row>
    <row r="13" spans="1:8" ht="51.4">
      <c r="A13" s="13" t="s">
        <v>35</v>
      </c>
      <c r="B13" s="14" t="s">
        <v>36</v>
      </c>
    </row>
    <row r="14" spans="1:8" ht="13.9">
      <c r="A14" s="13" t="s">
        <v>37</v>
      </c>
      <c r="B14" s="7" t="s">
        <v>38</v>
      </c>
    </row>
    <row r="15" spans="1:8" ht="13.9">
      <c r="A15" s="50"/>
    </row>
    <row r="16" spans="1:8" ht="20.65">
      <c r="A16" s="51" t="s">
        <v>39</v>
      </c>
    </row>
    <row r="17" spans="1:5" ht="13.9">
      <c r="A17" s="13" t="s">
        <v>40</v>
      </c>
      <c r="B17" s="14" t="s">
        <v>41</v>
      </c>
    </row>
    <row r="18" spans="1:5" ht="13.9">
      <c r="A18" s="13" t="s">
        <v>42</v>
      </c>
      <c r="B18" s="14" t="s">
        <v>43</v>
      </c>
    </row>
    <row r="19" spans="1:5" ht="13.9">
      <c r="A19" s="13" t="s">
        <v>44</v>
      </c>
      <c r="B19" s="14" t="s">
        <v>45</v>
      </c>
    </row>
    <row r="20" spans="1:5" ht="13.9">
      <c r="A20" s="13" t="s">
        <v>46</v>
      </c>
      <c r="B20" s="14" t="s">
        <v>47</v>
      </c>
    </row>
    <row r="21" spans="1:5" ht="14.65" customHeight="1">
      <c r="A21" s="13" t="s">
        <v>48</v>
      </c>
      <c r="B21" s="14" t="s">
        <v>49</v>
      </c>
    </row>
    <row r="22" spans="1:5" ht="25.9">
      <c r="A22" s="13" t="s">
        <v>50</v>
      </c>
      <c r="B22" s="14" t="s">
        <v>51</v>
      </c>
    </row>
    <row r="23" spans="1:5" ht="29.65" customHeight="1">
      <c r="A23" s="13" t="s">
        <v>52</v>
      </c>
      <c r="B23" s="14" t="s">
        <v>53</v>
      </c>
    </row>
    <row r="24" spans="1:5" ht="36.950000000000003" customHeight="1">
      <c r="A24" s="13" t="s">
        <v>54</v>
      </c>
      <c r="B24" s="14" t="s">
        <v>55</v>
      </c>
    </row>
    <row r="25" spans="1:5" ht="29.25" customHeight="1">
      <c r="A25" s="13" t="s">
        <v>56</v>
      </c>
      <c r="B25" s="14" t="s">
        <v>57</v>
      </c>
    </row>
    <row r="26" spans="1:5" ht="31.9" customHeight="1">
      <c r="A26" s="13" t="s">
        <v>58</v>
      </c>
      <c r="B26" s="14" t="s">
        <v>59</v>
      </c>
      <c r="E26" s="49"/>
    </row>
    <row r="27" spans="1:5" ht="28.35" customHeight="1">
      <c r="A27" s="13" t="s">
        <v>60</v>
      </c>
      <c r="B27" s="14" t="s">
        <v>61</v>
      </c>
      <c r="E27" s="48"/>
    </row>
    <row r="28" spans="1:5" ht="51.4">
      <c r="A28" s="13" t="s">
        <v>62</v>
      </c>
      <c r="B28" s="14" t="s">
        <v>63</v>
      </c>
    </row>
    <row r="29" spans="1:5" ht="38.65">
      <c r="A29" s="13" t="s">
        <v>64</v>
      </c>
      <c r="B29" s="14" t="s">
        <v>65</v>
      </c>
    </row>
    <row r="30" spans="1:5" ht="45.6" customHeight="1">
      <c r="A30" s="13" t="s">
        <v>66</v>
      </c>
      <c r="B30" s="14" t="s">
        <v>67</v>
      </c>
    </row>
    <row r="31" spans="1:5" ht="43.9" customHeight="1">
      <c r="A31" s="13" t="s">
        <v>68</v>
      </c>
      <c r="B31" s="14" t="s">
        <v>69</v>
      </c>
    </row>
    <row r="32" spans="1:5" ht="42.95" customHeight="1">
      <c r="A32" s="13" t="s">
        <v>70</v>
      </c>
      <c r="B32" s="14" t="s">
        <v>71</v>
      </c>
    </row>
  </sheetData>
  <pageMargins left="0.7" right="0.7" top="0.75" bottom="0.75" header="0.3" footer="0.3"/>
  <pageSetup orientation="portrait" r:id="rId1"/>
  <headerFooter>
    <oddFooter>&amp;R_x000D_&amp;1#&amp;"Calibri"&amp;8&amp;K000000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13A2-C749-4FEB-9723-52951A1B1BFC}">
  <dimension ref="A1:EV594"/>
  <sheetViews>
    <sheetView topLeftCell="A23" zoomScale="70" zoomScaleNormal="70" workbookViewId="0">
      <selection activeCell="B29" sqref="B29:B48"/>
    </sheetView>
  </sheetViews>
  <sheetFormatPr defaultColWidth="8.7109375" defaultRowHeight="16.5" customHeight="1"/>
  <cols>
    <col min="1" max="1" width="8.7109375" style="19"/>
    <col min="2" max="2" width="29" style="19" customWidth="1"/>
    <col min="3" max="3" width="11.140625" style="19" customWidth="1"/>
    <col min="4" max="8" width="8.7109375" style="19"/>
    <col min="9" max="9" width="9.5703125" style="19" customWidth="1"/>
    <col min="10" max="15" width="8.7109375" style="19"/>
    <col min="16" max="19" width="11.42578125" style="19" customWidth="1"/>
    <col min="20" max="23" width="8.7109375" style="19"/>
    <col min="24" max="152" width="8.7109375" style="18"/>
    <col min="153" max="16384" width="8.7109375" style="19"/>
  </cols>
  <sheetData>
    <row r="1" spans="1:152" ht="17.25" customHeight="1">
      <c r="A1" s="35"/>
      <c r="B1" s="35"/>
      <c r="C1" s="35"/>
      <c r="D1" s="65" t="s">
        <v>72</v>
      </c>
      <c r="E1" s="65"/>
      <c r="F1" s="65"/>
      <c r="G1" s="65"/>
      <c r="H1" s="65"/>
      <c r="I1" s="65"/>
      <c r="J1" s="65"/>
      <c r="K1" s="65"/>
      <c r="L1" s="65"/>
      <c r="M1" s="65"/>
      <c r="N1" s="65"/>
      <c r="O1" s="65"/>
      <c r="P1" s="60" t="s">
        <v>73</v>
      </c>
      <c r="Q1" s="60"/>
      <c r="R1" s="60"/>
      <c r="S1" s="60"/>
      <c r="T1" s="17"/>
      <c r="U1" s="17"/>
      <c r="V1" s="17"/>
      <c r="W1" s="17"/>
    </row>
    <row r="2" spans="1:152" s="26" customFormat="1" ht="60" customHeight="1">
      <c r="A2" s="63" t="s">
        <v>74</v>
      </c>
      <c r="B2" s="61" t="s">
        <v>75</v>
      </c>
      <c r="C2" s="64" t="s">
        <v>76</v>
      </c>
      <c r="D2" s="65"/>
      <c r="E2" s="65"/>
      <c r="F2" s="65"/>
      <c r="G2" s="65"/>
      <c r="H2" s="65"/>
      <c r="I2" s="65"/>
      <c r="J2" s="65"/>
      <c r="K2" s="65"/>
      <c r="L2" s="65"/>
      <c r="M2" s="65"/>
      <c r="N2" s="65"/>
      <c r="O2" s="65"/>
      <c r="P2" s="20" t="s">
        <v>77</v>
      </c>
      <c r="Q2" s="21" t="s">
        <v>78</v>
      </c>
      <c r="R2" s="22" t="s">
        <v>79</v>
      </c>
      <c r="S2" s="23" t="s">
        <v>30</v>
      </c>
      <c r="T2" s="24"/>
      <c r="U2" s="24"/>
      <c r="V2" s="24"/>
      <c r="W2" s="24"/>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c r="DP2" s="25"/>
      <c r="DQ2" s="25"/>
      <c r="DR2" s="25"/>
      <c r="DS2" s="25"/>
      <c r="DT2" s="25"/>
      <c r="DU2" s="25"/>
      <c r="DV2" s="25"/>
      <c r="DW2" s="25"/>
      <c r="DX2" s="25"/>
      <c r="DY2" s="25"/>
      <c r="DZ2" s="25"/>
      <c r="EA2" s="25"/>
      <c r="EB2" s="25"/>
      <c r="EC2" s="25"/>
      <c r="ED2" s="25"/>
      <c r="EE2" s="25"/>
      <c r="EF2" s="25"/>
      <c r="EG2" s="25"/>
      <c r="EH2" s="25"/>
      <c r="EI2" s="25"/>
      <c r="EJ2" s="25"/>
      <c r="EK2" s="25"/>
      <c r="EL2" s="25"/>
      <c r="EM2" s="25"/>
      <c r="EN2" s="25"/>
      <c r="EO2" s="25"/>
      <c r="EP2" s="25"/>
      <c r="EQ2" s="25"/>
      <c r="ER2" s="25"/>
      <c r="ES2" s="25"/>
      <c r="ET2" s="25"/>
      <c r="EU2" s="25"/>
      <c r="EV2" s="25"/>
    </row>
    <row r="3" spans="1:152" s="37" customFormat="1" ht="30.75" customHeight="1">
      <c r="A3" s="63"/>
      <c r="B3" s="62"/>
      <c r="C3" s="64"/>
      <c r="D3" s="52" t="s">
        <v>80</v>
      </c>
      <c r="E3" s="52" t="s">
        <v>81</v>
      </c>
      <c r="F3" s="52" t="s">
        <v>82</v>
      </c>
      <c r="G3" s="52" t="s">
        <v>83</v>
      </c>
      <c r="H3" s="52" t="s">
        <v>84</v>
      </c>
      <c r="I3" s="52" t="s">
        <v>85</v>
      </c>
      <c r="J3" s="52" t="s">
        <v>86</v>
      </c>
      <c r="K3" s="52" t="s">
        <v>87</v>
      </c>
      <c r="L3" s="52" t="s">
        <v>88</v>
      </c>
      <c r="M3" s="52" t="s">
        <v>89</v>
      </c>
      <c r="N3" s="52" t="s">
        <v>90</v>
      </c>
      <c r="O3" s="52" t="s">
        <v>91</v>
      </c>
      <c r="P3" s="59" t="s">
        <v>92</v>
      </c>
      <c r="Q3" s="59"/>
      <c r="R3" s="59"/>
      <c r="S3" s="59"/>
      <c r="T3" s="36"/>
      <c r="U3" s="36"/>
      <c r="V3" s="36"/>
      <c r="W3" s="36"/>
    </row>
    <row r="4" spans="1:152" ht="16.5" customHeight="1">
      <c r="A4" s="27">
        <v>1</v>
      </c>
      <c r="B4" s="27" t="s">
        <v>42</v>
      </c>
      <c r="C4" s="27" t="s">
        <v>93</v>
      </c>
      <c r="D4" s="41">
        <v>57147</v>
      </c>
      <c r="E4" s="41">
        <v>52873</v>
      </c>
      <c r="F4" s="41">
        <v>52870</v>
      </c>
      <c r="G4" s="41">
        <v>38833</v>
      </c>
      <c r="H4" s="41">
        <v>27114</v>
      </c>
      <c r="I4" s="41">
        <v>21823</v>
      </c>
      <c r="J4" s="41">
        <v>31813</v>
      </c>
      <c r="K4" s="41">
        <v>27302</v>
      </c>
      <c r="L4" s="41">
        <v>22084</v>
      </c>
      <c r="M4" s="41">
        <v>21830</v>
      </c>
      <c r="N4" s="41">
        <v>29404</v>
      </c>
      <c r="O4" s="41">
        <v>24518</v>
      </c>
      <c r="P4" s="40"/>
      <c r="Q4" s="41">
        <v>29814.155998399801</v>
      </c>
      <c r="R4" s="41">
        <v>28377.909196999801</v>
      </c>
      <c r="S4" s="41">
        <v>26648.000000000098</v>
      </c>
      <c r="T4" s="17"/>
      <c r="U4" s="17"/>
      <c r="V4" s="17"/>
      <c r="W4" s="17"/>
    </row>
    <row r="5" spans="1:152" ht="16.5" customHeight="1">
      <c r="A5" s="27">
        <v>2</v>
      </c>
      <c r="B5" s="27" t="s">
        <v>40</v>
      </c>
      <c r="C5" s="27" t="s">
        <v>93</v>
      </c>
      <c r="D5" s="41">
        <v>222</v>
      </c>
      <c r="E5" s="41">
        <v>1549</v>
      </c>
      <c r="F5" s="41">
        <v>4619</v>
      </c>
      <c r="G5" s="41">
        <v>4764</v>
      </c>
      <c r="H5" s="41">
        <v>5015</v>
      </c>
      <c r="I5" s="41">
        <v>6656</v>
      </c>
      <c r="J5" s="41">
        <v>9605</v>
      </c>
      <c r="K5" s="41">
        <v>5956</v>
      </c>
      <c r="L5" s="41">
        <v>8450</v>
      </c>
      <c r="M5" s="41">
        <v>8584</v>
      </c>
      <c r="N5" s="41">
        <v>12552</v>
      </c>
      <c r="O5" s="41">
        <v>9665</v>
      </c>
      <c r="P5" s="40"/>
      <c r="Q5" s="41">
        <v>11045.520000300799</v>
      </c>
      <c r="R5" s="41">
        <v>7748.1717579997003</v>
      </c>
      <c r="S5" s="41">
        <v>11865</v>
      </c>
      <c r="T5" s="17"/>
      <c r="U5" s="17"/>
      <c r="V5" s="17"/>
      <c r="W5" s="17"/>
    </row>
    <row r="6" spans="1:152" ht="16.5" customHeight="1">
      <c r="A6" s="27">
        <v>3</v>
      </c>
      <c r="B6" s="27" t="s">
        <v>40</v>
      </c>
      <c r="C6" s="27" t="s">
        <v>93</v>
      </c>
      <c r="D6" s="41">
        <v>24362</v>
      </c>
      <c r="E6" s="41">
        <v>21308</v>
      </c>
      <c r="F6" s="41">
        <v>19067</v>
      </c>
      <c r="G6" s="41">
        <v>14551</v>
      </c>
      <c r="H6" s="41">
        <v>13271</v>
      </c>
      <c r="I6" s="41">
        <v>10165</v>
      </c>
      <c r="J6" s="41">
        <v>10477</v>
      </c>
      <c r="K6" s="41">
        <v>7295</v>
      </c>
      <c r="L6" s="41">
        <v>8084</v>
      </c>
      <c r="M6" s="41">
        <v>9249</v>
      </c>
      <c r="N6" s="41">
        <v>10742</v>
      </c>
      <c r="O6" s="41">
        <v>9189</v>
      </c>
      <c r="P6" s="40"/>
      <c r="Q6" s="41">
        <v>10450.1737871</v>
      </c>
      <c r="R6" s="41">
        <v>10784.608078000199</v>
      </c>
      <c r="S6" s="41">
        <v>9165.0000000004002</v>
      </c>
      <c r="T6" s="17"/>
      <c r="U6" s="17"/>
      <c r="V6" s="17"/>
      <c r="W6" s="17"/>
    </row>
    <row r="7" spans="1:152" ht="16.5" customHeight="1">
      <c r="A7" s="27">
        <v>4</v>
      </c>
      <c r="B7" s="27" t="s">
        <v>44</v>
      </c>
      <c r="C7" s="27" t="s">
        <v>93</v>
      </c>
      <c r="D7" s="41"/>
      <c r="E7" s="41"/>
      <c r="F7" s="41">
        <v>1227</v>
      </c>
      <c r="G7" s="41">
        <v>24186</v>
      </c>
      <c r="H7" s="41">
        <v>7680</v>
      </c>
      <c r="I7" s="41">
        <v>16772</v>
      </c>
      <c r="J7" s="41">
        <v>17554</v>
      </c>
      <c r="K7" s="41">
        <v>16095</v>
      </c>
      <c r="L7" s="41">
        <v>26125</v>
      </c>
      <c r="M7" s="41">
        <v>24337</v>
      </c>
      <c r="N7" s="41">
        <v>21988</v>
      </c>
      <c r="O7" s="41">
        <v>32768</v>
      </c>
      <c r="P7" s="40"/>
      <c r="Q7" s="41">
        <v>24505.4448811006</v>
      </c>
      <c r="R7" s="41">
        <v>29566.9172219998</v>
      </c>
      <c r="S7" s="41">
        <v>24185.9999999998</v>
      </c>
      <c r="T7" s="17"/>
      <c r="U7" s="17"/>
      <c r="V7" s="17"/>
      <c r="W7" s="17"/>
    </row>
    <row r="8" spans="1:152" ht="16.5" customHeight="1">
      <c r="A8" s="27">
        <v>5</v>
      </c>
      <c r="B8" s="27" t="s">
        <v>56</v>
      </c>
      <c r="C8" s="27" t="s">
        <v>93</v>
      </c>
      <c r="D8" s="41">
        <v>208760</v>
      </c>
      <c r="E8" s="41">
        <v>116126</v>
      </c>
      <c r="F8" s="41">
        <v>150803</v>
      </c>
      <c r="G8" s="41">
        <v>82163</v>
      </c>
      <c r="H8" s="41">
        <v>82408</v>
      </c>
      <c r="I8" s="41">
        <v>67132</v>
      </c>
      <c r="J8" s="41">
        <v>87498</v>
      </c>
      <c r="K8" s="41">
        <v>69599</v>
      </c>
      <c r="L8" s="41">
        <v>78130</v>
      </c>
      <c r="M8" s="41">
        <v>76840</v>
      </c>
      <c r="N8" s="41">
        <v>85421</v>
      </c>
      <c r="O8" s="41">
        <v>54494</v>
      </c>
      <c r="P8" s="40"/>
      <c r="Q8" s="41">
        <v>69999.999999999898</v>
      </c>
      <c r="R8" s="41">
        <v>70999.999999999898</v>
      </c>
      <c r="S8" s="41">
        <v>68857.999999999898</v>
      </c>
      <c r="T8" s="17"/>
      <c r="U8" s="17"/>
      <c r="V8" s="17"/>
      <c r="W8" s="17"/>
    </row>
    <row r="9" spans="1:152" ht="16.5" customHeight="1">
      <c r="A9" s="27">
        <v>6</v>
      </c>
      <c r="B9" s="27" t="s">
        <v>58</v>
      </c>
      <c r="C9" s="27" t="s">
        <v>93</v>
      </c>
      <c r="D9" s="41">
        <v>204604</v>
      </c>
      <c r="E9" s="41">
        <v>194538</v>
      </c>
      <c r="F9" s="41">
        <v>185160</v>
      </c>
      <c r="G9" s="41">
        <v>147284</v>
      </c>
      <c r="H9" s="41">
        <v>136997</v>
      </c>
      <c r="I9" s="41">
        <v>100623</v>
      </c>
      <c r="J9" s="41">
        <v>128229</v>
      </c>
      <c r="K9" s="41">
        <v>100456</v>
      </c>
      <c r="L9" s="41">
        <v>93373</v>
      </c>
      <c r="M9" s="41">
        <v>115327</v>
      </c>
      <c r="N9" s="41">
        <v>145690</v>
      </c>
      <c r="O9" s="41">
        <v>120699</v>
      </c>
      <c r="P9" s="40"/>
      <c r="Q9" s="41">
        <v>127665.1608786</v>
      </c>
      <c r="R9" s="41">
        <v>116756</v>
      </c>
      <c r="S9" s="41">
        <v>114336</v>
      </c>
      <c r="T9" s="17"/>
      <c r="U9" s="17"/>
      <c r="V9" s="17"/>
      <c r="W9" s="17"/>
    </row>
    <row r="10" spans="1:152" ht="16.5" customHeight="1">
      <c r="A10" s="27">
        <v>7</v>
      </c>
      <c r="B10" s="27" t="s">
        <v>54</v>
      </c>
      <c r="C10" s="27" t="s">
        <v>93</v>
      </c>
      <c r="D10" s="41">
        <v>19790</v>
      </c>
      <c r="E10" s="41">
        <v>2476</v>
      </c>
      <c r="F10" s="41">
        <v>3149</v>
      </c>
      <c r="G10" s="41">
        <v>6367</v>
      </c>
      <c r="H10" s="41">
        <v>2287</v>
      </c>
      <c r="I10" s="41">
        <v>11281</v>
      </c>
      <c r="J10" s="41">
        <v>5212</v>
      </c>
      <c r="K10" s="41">
        <v>5408</v>
      </c>
      <c r="L10" s="41">
        <v>11956</v>
      </c>
      <c r="M10" s="41">
        <v>16406</v>
      </c>
      <c r="N10" s="41">
        <v>6735</v>
      </c>
      <c r="O10" s="41">
        <v>29889</v>
      </c>
      <c r="P10" s="40"/>
      <c r="Q10" s="41">
        <v>32000</v>
      </c>
      <c r="R10" s="41">
        <v>62299.9999999996</v>
      </c>
      <c r="S10" s="41">
        <v>14613.0000000001</v>
      </c>
      <c r="T10" s="17"/>
      <c r="U10" s="17"/>
      <c r="V10" s="17"/>
      <c r="W10" s="17"/>
    </row>
    <row r="11" spans="1:152" ht="16.5" customHeight="1">
      <c r="A11" s="27">
        <v>8</v>
      </c>
      <c r="B11" s="27" t="s">
        <v>64</v>
      </c>
      <c r="C11" s="27" t="s">
        <v>93</v>
      </c>
      <c r="D11" s="41"/>
      <c r="E11" s="41"/>
      <c r="F11" s="41">
        <v>13260</v>
      </c>
      <c r="G11" s="41">
        <v>21667</v>
      </c>
      <c r="H11" s="41">
        <v>30498</v>
      </c>
      <c r="I11" s="41">
        <v>40505</v>
      </c>
      <c r="J11" s="41">
        <v>61214</v>
      </c>
      <c r="K11" s="41">
        <v>41932</v>
      </c>
      <c r="L11" s="41">
        <v>59424</v>
      </c>
      <c r="M11" s="41">
        <v>60073</v>
      </c>
      <c r="N11" s="41">
        <v>66952</v>
      </c>
      <c r="O11" s="41">
        <v>57131</v>
      </c>
      <c r="P11" s="40"/>
      <c r="Q11" s="41">
        <v>65597.000000000306</v>
      </c>
      <c r="R11" s="41">
        <v>62369.000000000102</v>
      </c>
      <c r="S11" s="41">
        <v>64793.0000000004</v>
      </c>
      <c r="T11" s="17"/>
      <c r="U11" s="17"/>
      <c r="V11" s="17"/>
      <c r="W11" s="17"/>
    </row>
    <row r="12" spans="1:152" ht="16.5" customHeight="1">
      <c r="A12" s="27">
        <v>9</v>
      </c>
      <c r="B12" s="27" t="s">
        <v>60</v>
      </c>
      <c r="C12" s="27" t="s">
        <v>93</v>
      </c>
      <c r="D12" s="41">
        <v>191286</v>
      </c>
      <c r="E12" s="41">
        <v>228892</v>
      </c>
      <c r="F12" s="41">
        <v>197489</v>
      </c>
      <c r="G12" s="41">
        <v>138040</v>
      </c>
      <c r="H12" s="41">
        <v>116870</v>
      </c>
      <c r="I12" s="41">
        <v>96797</v>
      </c>
      <c r="J12" s="41">
        <v>117644</v>
      </c>
      <c r="K12" s="41">
        <v>116489</v>
      </c>
      <c r="L12" s="41">
        <v>96255</v>
      </c>
      <c r="M12" s="41">
        <v>97046</v>
      </c>
      <c r="N12" s="41">
        <v>127181</v>
      </c>
      <c r="O12" s="41">
        <v>109609</v>
      </c>
      <c r="P12" s="40"/>
      <c r="Q12" s="41">
        <v>119976.64999915</v>
      </c>
      <c r="R12" s="41">
        <v>117350</v>
      </c>
      <c r="S12" s="41">
        <v>112212</v>
      </c>
      <c r="T12" s="17"/>
      <c r="U12" s="17"/>
      <c r="V12" s="17"/>
      <c r="W12" s="17"/>
    </row>
    <row r="13" spans="1:152" ht="16.5" customHeight="1">
      <c r="A13" s="27">
        <v>10</v>
      </c>
      <c r="B13" s="27" t="s">
        <v>66</v>
      </c>
      <c r="C13" s="27" t="s">
        <v>93</v>
      </c>
      <c r="D13" s="41"/>
      <c r="E13" s="41"/>
      <c r="F13" s="41"/>
      <c r="G13" s="41"/>
      <c r="H13" s="41"/>
      <c r="I13" s="41">
        <v>677</v>
      </c>
      <c r="J13" s="41">
        <v>6834</v>
      </c>
      <c r="K13" s="41">
        <v>4355</v>
      </c>
      <c r="L13" s="41">
        <v>5400</v>
      </c>
      <c r="M13" s="41">
        <v>4422</v>
      </c>
      <c r="N13" s="41">
        <v>6635</v>
      </c>
      <c r="O13" s="41">
        <v>4970</v>
      </c>
      <c r="P13" s="40"/>
      <c r="Q13" s="41">
        <v>7671.1664108887999</v>
      </c>
      <c r="R13" s="41">
        <v>7502.2499999999</v>
      </c>
      <c r="S13" s="41">
        <v>5935</v>
      </c>
      <c r="T13" s="17"/>
      <c r="U13" s="17"/>
      <c r="V13" s="17"/>
      <c r="W13" s="17"/>
    </row>
    <row r="14" spans="1:152" ht="16.5" customHeight="1">
      <c r="A14" s="27">
        <v>11</v>
      </c>
      <c r="B14" s="27" t="s">
        <v>68</v>
      </c>
      <c r="C14" s="27" t="s">
        <v>93</v>
      </c>
      <c r="D14" s="41"/>
      <c r="E14" s="41"/>
      <c r="F14" s="41"/>
      <c r="G14" s="41"/>
      <c r="H14" s="41"/>
      <c r="I14" s="41">
        <v>648</v>
      </c>
      <c r="J14" s="41">
        <v>2415</v>
      </c>
      <c r="K14" s="41">
        <v>1331</v>
      </c>
      <c r="L14" s="41">
        <v>1828</v>
      </c>
      <c r="M14" s="41">
        <v>1346</v>
      </c>
      <c r="N14" s="41">
        <v>1175</v>
      </c>
      <c r="O14" s="41">
        <v>1376</v>
      </c>
      <c r="P14" s="40"/>
      <c r="Q14" s="41">
        <v>1052.4184735877</v>
      </c>
      <c r="R14" s="41">
        <v>0</v>
      </c>
      <c r="S14" s="41">
        <v>1268.0000000002001</v>
      </c>
      <c r="T14" s="17"/>
      <c r="U14" s="17"/>
      <c r="V14" s="17"/>
      <c r="W14" s="17"/>
    </row>
    <row r="15" spans="1:152" ht="16.5" customHeight="1">
      <c r="A15" s="27">
        <v>12</v>
      </c>
      <c r="B15" s="27" t="s">
        <v>46</v>
      </c>
      <c r="C15" s="27" t="s">
        <v>93</v>
      </c>
      <c r="D15" s="41">
        <v>1263</v>
      </c>
      <c r="E15" s="41">
        <v>1314</v>
      </c>
      <c r="F15" s="41">
        <v>843</v>
      </c>
      <c r="G15" s="41">
        <v>974</v>
      </c>
      <c r="H15" s="41">
        <v>753</v>
      </c>
      <c r="I15" s="41">
        <v>693</v>
      </c>
      <c r="J15" s="41">
        <v>911</v>
      </c>
      <c r="K15" s="41">
        <v>917</v>
      </c>
      <c r="L15" s="41">
        <v>1944</v>
      </c>
      <c r="M15" s="41">
        <v>1267</v>
      </c>
      <c r="N15" s="41">
        <v>1757</v>
      </c>
      <c r="O15" s="41">
        <v>1472</v>
      </c>
      <c r="P15" s="40"/>
      <c r="Q15" s="41">
        <v>1455</v>
      </c>
      <c r="R15" s="41">
        <v>1185.1609499998001</v>
      </c>
      <c r="S15" s="41">
        <v>1437.0000000001</v>
      </c>
      <c r="T15" s="17"/>
      <c r="U15" s="17"/>
      <c r="V15" s="17"/>
      <c r="W15" s="17"/>
    </row>
    <row r="16" spans="1:152" ht="16.5" customHeight="1">
      <c r="A16" s="27">
        <v>13</v>
      </c>
      <c r="B16" s="27" t="s">
        <v>56</v>
      </c>
      <c r="C16" s="27" t="s">
        <v>93</v>
      </c>
      <c r="D16" s="41"/>
      <c r="E16" s="41"/>
      <c r="F16" s="41">
        <v>1688</v>
      </c>
      <c r="G16" s="41">
        <v>531</v>
      </c>
      <c r="H16" s="41">
        <v>6487</v>
      </c>
      <c r="I16" s="41">
        <v>5456</v>
      </c>
      <c r="J16" s="41">
        <v>10031</v>
      </c>
      <c r="K16" s="41">
        <v>10803</v>
      </c>
      <c r="L16" s="41">
        <v>15667</v>
      </c>
      <c r="M16" s="41">
        <v>37379</v>
      </c>
      <c r="N16" s="41">
        <v>34423</v>
      </c>
      <c r="O16" s="41">
        <v>36285</v>
      </c>
      <c r="P16" s="40"/>
      <c r="Q16" s="41">
        <v>38000</v>
      </c>
      <c r="R16" s="41">
        <v>43500.000000000102</v>
      </c>
      <c r="S16" s="41">
        <v>37641.000000000298</v>
      </c>
      <c r="T16" s="17"/>
      <c r="U16" s="17"/>
      <c r="V16" s="17"/>
      <c r="W16" s="17"/>
    </row>
    <row r="17" spans="1:152" ht="16.5" customHeight="1">
      <c r="A17" s="27">
        <v>14</v>
      </c>
      <c r="B17" s="27" t="s">
        <v>50</v>
      </c>
      <c r="C17" s="27" t="s">
        <v>93</v>
      </c>
      <c r="D17" s="41">
        <v>2057</v>
      </c>
      <c r="E17" s="41">
        <v>4266</v>
      </c>
      <c r="F17" s="41">
        <v>11650</v>
      </c>
      <c r="G17" s="41">
        <v>7218</v>
      </c>
      <c r="H17" s="41">
        <v>6969</v>
      </c>
      <c r="I17" s="41">
        <v>8713</v>
      </c>
      <c r="J17" s="41">
        <v>10622</v>
      </c>
      <c r="K17" s="41">
        <v>11449</v>
      </c>
      <c r="L17" s="41">
        <v>10366</v>
      </c>
      <c r="M17" s="41">
        <v>13540</v>
      </c>
      <c r="N17" s="41">
        <v>16468</v>
      </c>
      <c r="O17" s="41">
        <v>13724</v>
      </c>
      <c r="P17" s="40"/>
      <c r="Q17" s="41">
        <v>16500.000000000098</v>
      </c>
      <c r="R17" s="41">
        <v>16596.800000000101</v>
      </c>
      <c r="S17" s="41">
        <v>15240.9999999998</v>
      </c>
      <c r="T17" s="17"/>
      <c r="U17" s="17"/>
      <c r="V17" s="17"/>
      <c r="W17" s="17"/>
    </row>
    <row r="18" spans="1:152" ht="16.5" customHeight="1">
      <c r="A18" s="27">
        <v>15</v>
      </c>
      <c r="B18" s="27" t="s">
        <v>70</v>
      </c>
      <c r="C18" s="27" t="s">
        <v>94</v>
      </c>
      <c r="D18" s="41">
        <v>58911</v>
      </c>
      <c r="E18" s="41">
        <v>69308</v>
      </c>
      <c r="F18" s="41">
        <v>107690</v>
      </c>
      <c r="G18" s="41">
        <v>70616</v>
      </c>
      <c r="H18" s="41">
        <v>68431</v>
      </c>
      <c r="I18" s="41">
        <v>69252</v>
      </c>
      <c r="J18" s="41">
        <v>84833</v>
      </c>
      <c r="K18" s="41">
        <v>69172</v>
      </c>
      <c r="L18" s="41">
        <v>58610</v>
      </c>
      <c r="M18" s="41">
        <v>51083</v>
      </c>
      <c r="N18" s="41">
        <v>22115</v>
      </c>
      <c r="O18" s="41">
        <v>19674</v>
      </c>
      <c r="P18" s="40"/>
      <c r="Q18" s="41">
        <v>26281.2611479404</v>
      </c>
      <c r="R18" s="41">
        <v>35204.000000000102</v>
      </c>
      <c r="S18" s="41">
        <v>23260</v>
      </c>
      <c r="T18" s="17"/>
      <c r="U18" s="17"/>
      <c r="V18" s="17"/>
      <c r="W18" s="17"/>
    </row>
    <row r="19" spans="1:152" ht="16.5" customHeight="1">
      <c r="A19" s="27">
        <v>16</v>
      </c>
      <c r="B19" s="27" t="s">
        <v>50</v>
      </c>
      <c r="C19" s="27" t="s">
        <v>93</v>
      </c>
      <c r="D19" s="41">
        <v>2349</v>
      </c>
      <c r="E19" s="41">
        <v>2359</v>
      </c>
      <c r="F19" s="41">
        <v>2861</v>
      </c>
      <c r="G19" s="41">
        <v>2655</v>
      </c>
      <c r="H19" s="41">
        <v>3497</v>
      </c>
      <c r="I19" s="41">
        <v>2837</v>
      </c>
      <c r="J19" s="41">
        <v>4237</v>
      </c>
      <c r="K19" s="41">
        <v>3817</v>
      </c>
      <c r="L19" s="41">
        <v>3855</v>
      </c>
      <c r="M19" s="41">
        <v>5784</v>
      </c>
      <c r="N19" s="41">
        <v>7840</v>
      </c>
      <c r="O19" s="41">
        <v>5309</v>
      </c>
      <c r="P19" s="40"/>
      <c r="Q19" s="41">
        <v>6400.0000000001</v>
      </c>
      <c r="R19" s="41">
        <v>5350.6884037001</v>
      </c>
      <c r="S19" s="41">
        <v>6696</v>
      </c>
      <c r="T19" s="17"/>
      <c r="U19" s="17"/>
      <c r="V19" s="17"/>
      <c r="W19" s="17"/>
    </row>
    <row r="20" spans="1:152" ht="16.5" customHeight="1">
      <c r="A20" s="27">
        <v>17</v>
      </c>
      <c r="B20" s="27" t="s">
        <v>48</v>
      </c>
      <c r="C20" s="27" t="s">
        <v>93</v>
      </c>
      <c r="D20" s="41">
        <v>4593</v>
      </c>
      <c r="E20" s="41">
        <v>6513</v>
      </c>
      <c r="F20" s="41">
        <v>3093</v>
      </c>
      <c r="G20" s="41">
        <v>2531</v>
      </c>
      <c r="H20" s="41">
        <v>2182</v>
      </c>
      <c r="I20" s="41">
        <v>2192</v>
      </c>
      <c r="J20" s="41">
        <v>2586</v>
      </c>
      <c r="K20" s="41">
        <v>1918</v>
      </c>
      <c r="L20" s="41">
        <v>2340</v>
      </c>
      <c r="M20" s="41">
        <v>1979</v>
      </c>
      <c r="N20" s="41">
        <v>1712</v>
      </c>
      <c r="O20" s="41">
        <v>1675</v>
      </c>
      <c r="P20" s="40"/>
      <c r="Q20" s="41">
        <v>1600.4562311694999</v>
      </c>
      <c r="R20" s="41">
        <v>2063.0579499997998</v>
      </c>
      <c r="S20" s="41">
        <v>1622</v>
      </c>
      <c r="T20" s="17"/>
      <c r="U20" s="17"/>
      <c r="V20" s="17"/>
      <c r="W20" s="17"/>
    </row>
    <row r="21" spans="1:152" ht="16.5" customHeight="1">
      <c r="A21" s="27">
        <v>18</v>
      </c>
      <c r="B21" s="27" t="s">
        <v>52</v>
      </c>
      <c r="C21" s="27" t="s">
        <v>94</v>
      </c>
      <c r="D21" s="41">
        <v>13153</v>
      </c>
      <c r="E21" s="41">
        <v>15149</v>
      </c>
      <c r="F21" s="41">
        <v>17700</v>
      </c>
      <c r="G21" s="41">
        <v>10373</v>
      </c>
      <c r="H21" s="41">
        <v>15770</v>
      </c>
      <c r="I21" s="41">
        <v>1199</v>
      </c>
      <c r="J21" s="41">
        <v>3395</v>
      </c>
      <c r="K21" s="41">
        <v>5576</v>
      </c>
      <c r="L21" s="41">
        <v>5272</v>
      </c>
      <c r="M21" s="41">
        <v>6085</v>
      </c>
      <c r="N21" s="41">
        <v>6761</v>
      </c>
      <c r="O21" s="41">
        <v>16697</v>
      </c>
      <c r="P21" s="40"/>
      <c r="Q21" s="41">
        <v>6427.8671148767999</v>
      </c>
      <c r="R21" s="41">
        <v>6416.0793270001004</v>
      </c>
      <c r="S21" s="41">
        <v>9150.9999999996999</v>
      </c>
      <c r="T21" s="17"/>
      <c r="U21" s="17"/>
      <c r="V21" s="17"/>
      <c r="W21" s="17"/>
    </row>
    <row r="22" spans="1:152" ht="16.5" customHeight="1">
      <c r="A22" s="27">
        <v>19</v>
      </c>
      <c r="B22" s="27" t="s">
        <v>48</v>
      </c>
      <c r="C22" s="27" t="s">
        <v>93</v>
      </c>
      <c r="D22" s="41">
        <v>6629</v>
      </c>
      <c r="E22" s="41">
        <v>4275</v>
      </c>
      <c r="F22" s="41">
        <v>2981</v>
      </c>
      <c r="G22" s="41">
        <v>2956</v>
      </c>
      <c r="H22" s="41">
        <v>1987</v>
      </c>
      <c r="I22" s="41">
        <v>1709</v>
      </c>
      <c r="J22" s="41">
        <v>2326</v>
      </c>
      <c r="K22" s="41">
        <v>2280</v>
      </c>
      <c r="L22" s="41">
        <v>2001</v>
      </c>
      <c r="M22" s="41">
        <v>3152</v>
      </c>
      <c r="N22" s="41">
        <v>3208</v>
      </c>
      <c r="O22" s="41">
        <v>2374</v>
      </c>
      <c r="P22" s="40"/>
      <c r="Q22" s="41">
        <v>2550</v>
      </c>
      <c r="R22" s="41">
        <v>2282.5322000000001</v>
      </c>
      <c r="S22" s="41">
        <v>2496.0000000001</v>
      </c>
      <c r="T22" s="17"/>
      <c r="U22" s="17"/>
      <c r="V22" s="17"/>
      <c r="W22" s="17"/>
    </row>
    <row r="23" spans="1:152" ht="16.5" customHeight="1">
      <c r="A23" s="27">
        <v>20</v>
      </c>
      <c r="B23" s="27" t="s">
        <v>42</v>
      </c>
      <c r="C23" s="27" t="s">
        <v>95</v>
      </c>
      <c r="D23" s="41"/>
      <c r="E23" s="41"/>
      <c r="F23" s="41"/>
      <c r="G23" s="41"/>
      <c r="H23" s="41">
        <v>6</v>
      </c>
      <c r="I23" s="41">
        <v>26</v>
      </c>
      <c r="J23" s="41">
        <v>111</v>
      </c>
      <c r="K23" s="41">
        <v>97</v>
      </c>
      <c r="L23" s="41">
        <v>158</v>
      </c>
      <c r="M23" s="41">
        <v>138</v>
      </c>
      <c r="N23" s="41">
        <v>192</v>
      </c>
      <c r="O23" s="41">
        <v>149</v>
      </c>
      <c r="P23" s="40"/>
      <c r="Q23" s="41">
        <v>201.74896452179999</v>
      </c>
      <c r="R23" s="41">
        <v>280.73295827940001</v>
      </c>
      <c r="S23" s="41">
        <v>180.00000000009999</v>
      </c>
      <c r="T23" s="17"/>
      <c r="U23" s="17"/>
      <c r="V23" s="17"/>
      <c r="W23" s="17"/>
    </row>
    <row r="24" spans="1:152" ht="16.5" customHeight="1">
      <c r="A24" s="27"/>
      <c r="B24" s="27"/>
      <c r="C24" s="28"/>
      <c r="D24" s="28"/>
      <c r="E24" s="28"/>
      <c r="F24" s="28"/>
      <c r="G24" s="28"/>
      <c r="H24" s="28"/>
      <c r="I24" s="28"/>
      <c r="J24" s="28"/>
      <c r="K24" s="28"/>
      <c r="L24" s="28"/>
      <c r="M24" s="28"/>
      <c r="N24" s="28"/>
      <c r="O24" s="28"/>
      <c r="P24" s="28"/>
      <c r="Q24" s="29"/>
      <c r="R24" s="29"/>
      <c r="S24" s="29"/>
      <c r="T24" s="17"/>
      <c r="U24" s="17"/>
      <c r="V24" s="17"/>
      <c r="W24" s="17"/>
    </row>
    <row r="25" spans="1:152" ht="16.5" customHeight="1">
      <c r="A25" s="44"/>
      <c r="B25" s="44"/>
      <c r="C25" s="17"/>
      <c r="D25" s="17"/>
      <c r="E25" s="17"/>
      <c r="F25" s="17"/>
      <c r="G25" s="17"/>
      <c r="H25" s="17"/>
      <c r="I25" s="17"/>
      <c r="J25" s="17"/>
      <c r="K25" s="17"/>
      <c r="L25" s="17"/>
      <c r="M25" s="17"/>
      <c r="N25" s="17"/>
      <c r="O25" s="17"/>
      <c r="P25" s="17"/>
      <c r="Q25" s="17"/>
      <c r="R25" s="17"/>
      <c r="S25" s="17"/>
      <c r="T25" s="17"/>
      <c r="U25" s="17"/>
      <c r="V25" s="17"/>
      <c r="W25" s="17"/>
    </row>
    <row r="26" spans="1:152" ht="16.5" customHeight="1">
      <c r="A26" s="45"/>
      <c r="B26" s="45"/>
      <c r="C26" s="54" t="s">
        <v>96</v>
      </c>
      <c r="D26" s="54"/>
      <c r="E26" s="54"/>
      <c r="F26" s="54"/>
      <c r="G26" s="54"/>
      <c r="H26" s="54"/>
      <c r="I26" s="17"/>
      <c r="J26" s="55" t="s">
        <v>97</v>
      </c>
      <c r="K26" s="55"/>
      <c r="L26" s="55"/>
      <c r="M26" s="55"/>
      <c r="N26" s="55"/>
      <c r="O26" s="55"/>
      <c r="P26" s="28"/>
      <c r="Q26" s="56" t="s">
        <v>98</v>
      </c>
      <c r="R26" s="56"/>
      <c r="S26" s="56"/>
      <c r="T26" s="56"/>
      <c r="U26" s="56"/>
      <c r="V26" s="56"/>
      <c r="W26" s="28"/>
    </row>
    <row r="27" spans="1:152" ht="16.5" customHeight="1">
      <c r="A27" s="46"/>
      <c r="B27" s="46"/>
      <c r="C27" s="57" t="s">
        <v>99</v>
      </c>
      <c r="D27" s="58"/>
      <c r="E27" s="57" t="s">
        <v>100</v>
      </c>
      <c r="F27" s="58"/>
      <c r="G27" s="57" t="s">
        <v>101</v>
      </c>
      <c r="H27" s="58"/>
      <c r="I27" s="28"/>
      <c r="J27" s="57" t="s">
        <v>99</v>
      </c>
      <c r="K27" s="58"/>
      <c r="L27" s="57" t="s">
        <v>100</v>
      </c>
      <c r="M27" s="58"/>
      <c r="N27" s="57" t="s">
        <v>101</v>
      </c>
      <c r="O27" s="58"/>
      <c r="P27" s="28"/>
      <c r="Q27" s="53" t="s">
        <v>99</v>
      </c>
      <c r="R27" s="53"/>
      <c r="S27" s="53" t="s">
        <v>100</v>
      </c>
      <c r="T27" s="53"/>
      <c r="U27" s="53" t="s">
        <v>101</v>
      </c>
      <c r="V27" s="53"/>
      <c r="W27" s="17"/>
    </row>
    <row r="28" spans="1:152" s="34" customFormat="1" ht="25.15" customHeight="1">
      <c r="A28" s="30" t="s">
        <v>74</v>
      </c>
      <c r="B28" s="47" t="s">
        <v>75</v>
      </c>
      <c r="C28" s="31" t="s">
        <v>8</v>
      </c>
      <c r="D28" s="31" t="s">
        <v>32</v>
      </c>
      <c r="E28" s="31" t="s">
        <v>8</v>
      </c>
      <c r="F28" s="31" t="s">
        <v>32</v>
      </c>
      <c r="G28" s="31" t="s">
        <v>8</v>
      </c>
      <c r="H28" s="31" t="s">
        <v>32</v>
      </c>
      <c r="I28" s="32"/>
      <c r="J28" s="31" t="s">
        <v>8</v>
      </c>
      <c r="K28" s="31" t="s">
        <v>32</v>
      </c>
      <c r="L28" s="31" t="s">
        <v>8</v>
      </c>
      <c r="M28" s="31" t="s">
        <v>32</v>
      </c>
      <c r="N28" s="31" t="s">
        <v>8</v>
      </c>
      <c r="O28" s="31" t="s">
        <v>32</v>
      </c>
      <c r="P28" s="32"/>
      <c r="Q28" s="31" t="s">
        <v>8</v>
      </c>
      <c r="R28" s="31" t="s">
        <v>32</v>
      </c>
      <c r="S28" s="31" t="s">
        <v>8</v>
      </c>
      <c r="T28" s="31" t="s">
        <v>32</v>
      </c>
      <c r="U28" s="31" t="s">
        <v>8</v>
      </c>
      <c r="V28" s="31" t="s">
        <v>32</v>
      </c>
      <c r="W28" s="16"/>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3"/>
      <c r="EM28" s="33"/>
      <c r="EN28" s="33"/>
      <c r="EO28" s="33"/>
      <c r="EP28" s="33"/>
      <c r="EQ28" s="33"/>
      <c r="ER28" s="33"/>
      <c r="ES28" s="33"/>
      <c r="ET28" s="33"/>
      <c r="EU28" s="33"/>
      <c r="EV28" s="33"/>
    </row>
    <row r="29" spans="1:152" ht="16.5" customHeight="1">
      <c r="A29" s="27">
        <v>1</v>
      </c>
      <c r="B29" s="27" t="s">
        <v>42</v>
      </c>
      <c r="C29" s="42">
        <v>0.79462461082060099</v>
      </c>
      <c r="D29" s="42">
        <v>0.20537538917939899</v>
      </c>
      <c r="E29" s="42">
        <v>0.98467910458568897</v>
      </c>
      <c r="F29" s="42">
        <v>1.5320895414311E-2</v>
      </c>
      <c r="G29" s="42">
        <v>0.80895152759964695</v>
      </c>
      <c r="H29" s="42">
        <v>0.191048472400353</v>
      </c>
      <c r="I29" s="42"/>
      <c r="J29" s="42">
        <v>0.29887986116323501</v>
      </c>
      <c r="K29" s="42">
        <v>0.70112013883676505</v>
      </c>
      <c r="L29" s="42">
        <v>0.68731302938379102</v>
      </c>
      <c r="M29" s="42">
        <v>0.31268697061620898</v>
      </c>
      <c r="N29" s="42">
        <v>0.75044885886393897</v>
      </c>
      <c r="O29" s="42">
        <v>0.249551141136061</v>
      </c>
      <c r="P29" s="42"/>
      <c r="Q29" s="42">
        <v>0.84937596867607501</v>
      </c>
      <c r="R29" s="42">
        <v>0.15062403132392499</v>
      </c>
      <c r="S29" s="42">
        <v>0.94255883553258002</v>
      </c>
      <c r="T29" s="42">
        <v>-5.7441164467419398E-2</v>
      </c>
      <c r="U29" s="42">
        <v>0.76509390746678896</v>
      </c>
      <c r="V29" s="42">
        <v>0.23490609253321099</v>
      </c>
      <c r="W29" s="42"/>
    </row>
    <row r="30" spans="1:152" ht="16.5" customHeight="1">
      <c r="A30" s="27">
        <v>2</v>
      </c>
      <c r="B30" s="27" t="s">
        <v>40</v>
      </c>
      <c r="C30" s="42">
        <v>0.86403419287224004</v>
      </c>
      <c r="D30" s="42">
        <v>0.13596580712775999</v>
      </c>
      <c r="E30" s="42">
        <v>0.92461576943913304</v>
      </c>
      <c r="F30" s="42">
        <v>-7.5384230560866794E-2</v>
      </c>
      <c r="G30" s="42">
        <v>0.855607026578868</v>
      </c>
      <c r="H30" s="42">
        <v>0.144392973421132</v>
      </c>
      <c r="I30" s="42"/>
      <c r="J30" s="42">
        <v>0.90536453812722195</v>
      </c>
      <c r="K30" s="42">
        <v>9.4635461872778201E-2</v>
      </c>
      <c r="L30" s="42">
        <v>0.78002047554172205</v>
      </c>
      <c r="M30" s="42">
        <v>-0.21997952445827801</v>
      </c>
      <c r="N30" s="42">
        <v>0.80606378087136499</v>
      </c>
      <c r="O30" s="42">
        <v>-0.19393621912863501</v>
      </c>
      <c r="P30" s="42"/>
      <c r="Q30" s="42">
        <v>0.66611484738748095</v>
      </c>
      <c r="R30" s="42">
        <v>-0.333885152612519</v>
      </c>
      <c r="S30" s="42">
        <v>0.46303377947737401</v>
      </c>
      <c r="T30" s="42">
        <v>-0.53696622052262599</v>
      </c>
      <c r="U30" s="42">
        <v>0.93045200372786596</v>
      </c>
      <c r="V30" s="42">
        <v>6.9547996272134205E-2</v>
      </c>
      <c r="W30" s="42"/>
    </row>
    <row r="31" spans="1:152" ht="16.5" customHeight="1">
      <c r="A31" s="27">
        <v>3</v>
      </c>
      <c r="B31" s="27" t="s">
        <v>40</v>
      </c>
      <c r="C31" s="42">
        <v>0.88623761022210301</v>
      </c>
      <c r="D31" s="42">
        <v>0.113762389777897</v>
      </c>
      <c r="E31" s="42">
        <v>0.984172353823348</v>
      </c>
      <c r="F31" s="42">
        <v>1.5827646176652398E-2</v>
      </c>
      <c r="G31" s="42">
        <v>0.897152980149865</v>
      </c>
      <c r="H31" s="42">
        <v>0.102847019850135</v>
      </c>
      <c r="I31" s="42"/>
      <c r="J31" s="42">
        <v>0.187108414190989</v>
      </c>
      <c r="K31" s="42">
        <v>0.812891585809011</v>
      </c>
      <c r="L31" s="42">
        <v>0.564832805343502</v>
      </c>
      <c r="M31" s="42">
        <v>0.435167194656498</v>
      </c>
      <c r="N31" s="42">
        <v>0.822033201535323</v>
      </c>
      <c r="O31" s="42">
        <v>0.177966798464677</v>
      </c>
      <c r="P31" s="42"/>
      <c r="Q31" s="42">
        <v>0.77930133855697004</v>
      </c>
      <c r="R31" s="42">
        <v>-0.22069866144302999</v>
      </c>
      <c r="S31" s="42">
        <v>8.9368832619623903E-2</v>
      </c>
      <c r="T31" s="42">
        <v>-0.91063116738037597</v>
      </c>
      <c r="U31" s="42">
        <v>0.93793923667423496</v>
      </c>
      <c r="V31" s="42">
        <v>-6.2060763325765003E-2</v>
      </c>
      <c r="W31" s="42"/>
    </row>
    <row r="32" spans="1:152" ht="16.5" customHeight="1">
      <c r="A32" s="27">
        <v>4</v>
      </c>
      <c r="B32" s="27" t="s">
        <v>44</v>
      </c>
      <c r="C32" s="42">
        <v>0.671386718750003</v>
      </c>
      <c r="D32" s="42">
        <v>-0.328613281249997</v>
      </c>
      <c r="E32" s="42">
        <v>0.79002183008913995</v>
      </c>
      <c r="F32" s="42">
        <v>0.20997816991085999</v>
      </c>
      <c r="G32" s="42">
        <v>0.97237750739888995</v>
      </c>
      <c r="H32" s="42">
        <v>2.7622492601109799E-2</v>
      </c>
      <c r="I32" s="42"/>
      <c r="J32" s="42">
        <v>0.62705231497193004</v>
      </c>
      <c r="K32" s="42">
        <v>0.37294768502807002</v>
      </c>
      <c r="L32" s="42">
        <v>0.22449807203928501</v>
      </c>
      <c r="M32" s="42">
        <v>0.77550192796071504</v>
      </c>
      <c r="N32" s="42">
        <v>0.95979843690592703</v>
      </c>
      <c r="O32" s="42">
        <v>4.0201563094072697E-2</v>
      </c>
      <c r="P32" s="42"/>
      <c r="Q32" s="42">
        <v>0.481201171875</v>
      </c>
      <c r="R32" s="42">
        <v>-0.518798828125</v>
      </c>
      <c r="S32" s="42">
        <v>0.72989812625068196</v>
      </c>
      <c r="T32" s="42">
        <v>-0.27010187374931799</v>
      </c>
      <c r="U32" s="42">
        <v>0.788063137125945</v>
      </c>
      <c r="V32" s="42">
        <v>-0.211936862874055</v>
      </c>
      <c r="W32" s="42"/>
    </row>
    <row r="33" spans="1:23" ht="16.5" customHeight="1">
      <c r="A33" s="27">
        <v>5</v>
      </c>
      <c r="B33" s="27" t="s">
        <v>56</v>
      </c>
      <c r="C33" s="42">
        <v>0.62370169192938696</v>
      </c>
      <c r="D33" s="42">
        <v>0.37629830807061299</v>
      </c>
      <c r="E33" s="42">
        <v>0.949415249177603</v>
      </c>
      <c r="F33" s="42">
        <v>-5.0584750822397301E-2</v>
      </c>
      <c r="G33" s="42">
        <v>0.89796980739198196</v>
      </c>
      <c r="H33" s="42">
        <v>-0.102030192608018</v>
      </c>
      <c r="I33" s="42"/>
      <c r="J33" s="42">
        <v>0.57782508166036395</v>
      </c>
      <c r="K33" s="42">
        <v>0.422174918339636</v>
      </c>
      <c r="L33" s="42">
        <v>0.83117734514931996</v>
      </c>
      <c r="M33" s="42">
        <v>-0.16882265485067999</v>
      </c>
      <c r="N33" s="42">
        <v>0.97188964081207696</v>
      </c>
      <c r="O33" s="42">
        <v>2.8110359187923002E-2</v>
      </c>
      <c r="P33" s="42"/>
      <c r="Q33" s="42">
        <v>0.61254450031196095</v>
      </c>
      <c r="R33" s="42">
        <v>0.387455499688039</v>
      </c>
      <c r="S33" s="42">
        <v>0.89311761744770002</v>
      </c>
      <c r="T33" s="42">
        <v>-0.1068823825523</v>
      </c>
      <c r="U33" s="42">
        <v>0.99284226965122302</v>
      </c>
      <c r="V33" s="42">
        <v>-7.1577303487766796E-3</v>
      </c>
      <c r="W33" s="42"/>
    </row>
    <row r="34" spans="1:23" ht="16.5" customHeight="1">
      <c r="A34" s="27">
        <v>6</v>
      </c>
      <c r="B34" s="27" t="s">
        <v>58</v>
      </c>
      <c r="C34" s="42">
        <v>0.93649208011930596</v>
      </c>
      <c r="D34" s="42">
        <v>6.3507919880694194E-2</v>
      </c>
      <c r="E34" s="42">
        <v>0.93505259228498805</v>
      </c>
      <c r="F34" s="42">
        <v>6.4947407715012007E-2</v>
      </c>
      <c r="G34" s="42">
        <v>0.96057591577829105</v>
      </c>
      <c r="H34" s="42">
        <v>-3.9424084221709399E-2</v>
      </c>
      <c r="I34" s="42"/>
      <c r="J34" s="42">
        <v>0.94144110556011096</v>
      </c>
      <c r="K34" s="42">
        <v>-5.8558894439889299E-2</v>
      </c>
      <c r="L34" s="42">
        <v>0.86726611297961498</v>
      </c>
      <c r="M34" s="42">
        <v>-0.13273388702038499</v>
      </c>
      <c r="N34" s="42">
        <v>0.84287287452201298</v>
      </c>
      <c r="O34" s="42">
        <v>0.15712712547798699</v>
      </c>
      <c r="P34" s="42"/>
      <c r="Q34" s="42">
        <v>0.86600551785847402</v>
      </c>
      <c r="R34" s="42">
        <v>-0.13399448214152601</v>
      </c>
      <c r="S34" s="42">
        <v>0.73632370100899203</v>
      </c>
      <c r="T34" s="42">
        <v>-0.26367629899100797</v>
      </c>
      <c r="U34" s="42">
        <v>0.87420118445810602</v>
      </c>
      <c r="V34" s="42">
        <v>-0.12579881554189401</v>
      </c>
      <c r="W34" s="42"/>
    </row>
    <row r="35" spans="1:23" ht="16.5" customHeight="1">
      <c r="A35" s="27">
        <v>7</v>
      </c>
      <c r="B35" s="27" t="s">
        <v>54</v>
      </c>
      <c r="C35" s="42">
        <v>0.30111412225233403</v>
      </c>
      <c r="D35" s="42">
        <v>-0.69888587774766597</v>
      </c>
      <c r="E35" s="42">
        <v>0</v>
      </c>
      <c r="F35" s="42">
        <v>1.2271714922049</v>
      </c>
      <c r="G35" s="42">
        <v>0.85334633670608295</v>
      </c>
      <c r="H35" s="42">
        <v>-0.14665366329391699</v>
      </c>
      <c r="I35" s="42"/>
      <c r="J35" s="42">
        <v>0.30111412225233702</v>
      </c>
      <c r="K35" s="42">
        <v>-0.69888587774766298</v>
      </c>
      <c r="L35" s="42">
        <v>0</v>
      </c>
      <c r="M35" s="42">
        <v>1.67260579064588</v>
      </c>
      <c r="N35" s="42">
        <v>0.670486407411923</v>
      </c>
      <c r="O35" s="42">
        <v>-0.329513592588077</v>
      </c>
      <c r="P35" s="42"/>
      <c r="Q35" s="42">
        <v>0.189802268393054</v>
      </c>
      <c r="R35" s="42">
        <v>-0.81019773160694597</v>
      </c>
      <c r="S35" s="42">
        <v>0.78158871566443899</v>
      </c>
      <c r="T35" s="42">
        <v>-0.21841128433556101</v>
      </c>
      <c r="U35" s="42">
        <v>0.47251005729611101</v>
      </c>
      <c r="V35" s="42">
        <v>-0.52748994270388905</v>
      </c>
      <c r="W35" s="42"/>
    </row>
    <row r="36" spans="1:23" ht="16.5" customHeight="1">
      <c r="A36" s="27">
        <v>8</v>
      </c>
      <c r="B36" s="27" t="s">
        <v>64</v>
      </c>
      <c r="C36" s="42">
        <v>0.98846510650959496</v>
      </c>
      <c r="D36" s="42">
        <v>1.1534893490404499E-2</v>
      </c>
      <c r="E36" s="42">
        <v>0.99578802724339199</v>
      </c>
      <c r="F36" s="42">
        <v>4.2119727566078298E-3</v>
      </c>
      <c r="G36" s="42">
        <v>0.96422685732359004</v>
      </c>
      <c r="H36" s="42">
        <v>-3.5773142676410401E-2</v>
      </c>
      <c r="I36" s="42"/>
      <c r="J36" s="42">
        <v>0.95510318391066495</v>
      </c>
      <c r="K36" s="42">
        <v>4.4896816089334997E-2</v>
      </c>
      <c r="L36" s="42">
        <v>0.99481718245907802</v>
      </c>
      <c r="M36" s="42">
        <v>5.1828175409217997E-3</v>
      </c>
      <c r="N36" s="42">
        <v>0.75098630000167499</v>
      </c>
      <c r="O36" s="42">
        <v>0.24901369999832501</v>
      </c>
      <c r="P36" s="42"/>
      <c r="Q36" s="42">
        <v>0.719014195445555</v>
      </c>
      <c r="R36" s="42">
        <v>-0.280985804554445</v>
      </c>
      <c r="S36" s="42">
        <v>0.46600549647508699</v>
      </c>
      <c r="T36" s="42">
        <v>-0.53399450352491296</v>
      </c>
      <c r="U36" s="42">
        <v>0.77981788823597997</v>
      </c>
      <c r="V36" s="42">
        <v>-0.22018211176402</v>
      </c>
      <c r="W36" s="42"/>
    </row>
    <row r="37" spans="1:23" ht="16.5" customHeight="1">
      <c r="A37" s="27">
        <v>9</v>
      </c>
      <c r="B37" s="27" t="s">
        <v>60</v>
      </c>
      <c r="C37" s="42">
        <v>0.92679136473686297</v>
      </c>
      <c r="D37" s="42">
        <v>7.3208635263137201E-2</v>
      </c>
      <c r="E37" s="42">
        <v>0.92235720371753704</v>
      </c>
      <c r="F37" s="42">
        <v>7.7642796282462803E-2</v>
      </c>
      <c r="G37" s="42">
        <v>0.67215041420357102</v>
      </c>
      <c r="H37" s="42">
        <v>0.32784958579642898</v>
      </c>
      <c r="I37" s="42"/>
      <c r="J37" s="42">
        <v>0.94911914167632006</v>
      </c>
      <c r="K37" s="42">
        <v>-5.0880858323679702E-2</v>
      </c>
      <c r="L37" s="42">
        <v>0.97375394123336101</v>
      </c>
      <c r="M37" s="42">
        <v>2.6246058766638901E-2</v>
      </c>
      <c r="N37" s="42">
        <v>0.55649897986521502</v>
      </c>
      <c r="O37" s="42">
        <v>0.44350102013478498</v>
      </c>
      <c r="P37" s="42"/>
      <c r="Q37" s="42">
        <v>0.90692370152086099</v>
      </c>
      <c r="R37" s="42">
        <v>9.3076298479139494E-2</v>
      </c>
      <c r="S37" s="42">
        <v>0.947924611380631</v>
      </c>
      <c r="T37" s="42">
        <v>-5.2075388619369202E-2</v>
      </c>
      <c r="U37" s="42">
        <v>0.859211095769017</v>
      </c>
      <c r="V37" s="42">
        <v>0.140788904230983</v>
      </c>
      <c r="W37" s="42"/>
    </row>
    <row r="38" spans="1:23" ht="16.5" customHeight="1">
      <c r="A38" s="27">
        <v>10</v>
      </c>
      <c r="B38" s="27" t="s">
        <v>66</v>
      </c>
      <c r="C38" s="42">
        <v>0.71614032972599595</v>
      </c>
      <c r="D38" s="42">
        <v>0.28385967027400399</v>
      </c>
      <c r="E38" s="42">
        <v>0.85764446427596097</v>
      </c>
      <c r="F38" s="42">
        <v>0.142355535724039</v>
      </c>
      <c r="G38" s="42">
        <v>0.41701089010710102</v>
      </c>
      <c r="H38" s="42">
        <v>0.58298910989289898</v>
      </c>
      <c r="I38" s="42"/>
      <c r="J38" s="42">
        <v>0</v>
      </c>
      <c r="K38" s="42">
        <v>-1</v>
      </c>
      <c r="L38" s="42">
        <v>0</v>
      </c>
      <c r="M38" s="42">
        <v>-1</v>
      </c>
      <c r="N38" s="42">
        <v>0</v>
      </c>
      <c r="O38" s="42">
        <v>-1</v>
      </c>
      <c r="P38" s="42"/>
      <c r="Q38" s="42">
        <v>0.80583501006036196</v>
      </c>
      <c r="R38" s="42">
        <v>-0.19416498993963799</v>
      </c>
      <c r="S38" s="42">
        <v>0.57045968349660903</v>
      </c>
      <c r="T38" s="42">
        <v>-0.42954031650339097</v>
      </c>
      <c r="U38" s="42">
        <v>0.72410673903211198</v>
      </c>
      <c r="V38" s="42">
        <v>0.27589326096788802</v>
      </c>
      <c r="W38" s="42"/>
    </row>
    <row r="39" spans="1:23" ht="16.5" customHeight="1">
      <c r="A39" s="27">
        <v>11</v>
      </c>
      <c r="B39" s="27" t="s">
        <v>68</v>
      </c>
      <c r="C39" s="42">
        <v>0.90004656647856096</v>
      </c>
      <c r="D39" s="42">
        <v>9.99534335214389E-2</v>
      </c>
      <c r="E39" s="42">
        <v>0.46779637363225501</v>
      </c>
      <c r="F39" s="42">
        <v>0.53220362636774499</v>
      </c>
      <c r="G39" s="42">
        <v>0.49034175334331298</v>
      </c>
      <c r="H39" s="42">
        <v>-0.50965824665668702</v>
      </c>
      <c r="I39" s="42"/>
      <c r="J39" s="42">
        <v>0</v>
      </c>
      <c r="K39" s="42">
        <v>-1</v>
      </c>
      <c r="L39" s="42">
        <v>0</v>
      </c>
      <c r="M39" s="42">
        <v>-1</v>
      </c>
      <c r="N39" s="42">
        <v>0</v>
      </c>
      <c r="O39" s="42">
        <v>-1</v>
      </c>
      <c r="P39" s="42"/>
      <c r="Q39" s="42">
        <v>0.56613372093023295</v>
      </c>
      <c r="R39" s="42">
        <v>0.43386627906976699</v>
      </c>
      <c r="S39" s="42">
        <v>0.54212765957446796</v>
      </c>
      <c r="T39" s="42">
        <v>-0.45787234042553199</v>
      </c>
      <c r="U39" s="42">
        <v>0.63744427934621095</v>
      </c>
      <c r="V39" s="42">
        <v>0.36255572065378899</v>
      </c>
      <c r="W39" s="42"/>
    </row>
    <row r="40" spans="1:23" ht="16.5" customHeight="1">
      <c r="A40" s="27">
        <v>12</v>
      </c>
      <c r="B40" s="27" t="s">
        <v>46</v>
      </c>
      <c r="C40" s="42">
        <v>0.88315217391304301</v>
      </c>
      <c r="D40" s="42">
        <v>-0.116847826086957</v>
      </c>
      <c r="E40" s="42">
        <v>0.77689243027894095</v>
      </c>
      <c r="F40" s="42">
        <v>-0.223107569721059</v>
      </c>
      <c r="G40" s="42">
        <v>0.92344119968405702</v>
      </c>
      <c r="H40" s="42">
        <v>-7.6558800315943101E-2</v>
      </c>
      <c r="I40" s="42"/>
      <c r="J40" s="42">
        <v>0.63608559782622298</v>
      </c>
      <c r="K40" s="42">
        <v>-0.36391440217377702</v>
      </c>
      <c r="L40" s="42">
        <v>0.65709049516220797</v>
      </c>
      <c r="M40" s="42">
        <v>-0.34290950483779198</v>
      </c>
      <c r="N40" s="42">
        <v>0.85914182801933703</v>
      </c>
      <c r="O40" s="42">
        <v>-0.140858171980663</v>
      </c>
      <c r="P40" s="42"/>
      <c r="Q40" s="42">
        <v>0.61888586956521696</v>
      </c>
      <c r="R40" s="42">
        <v>-0.38111413043478298</v>
      </c>
      <c r="S40" s="42">
        <v>0.51906659077973805</v>
      </c>
      <c r="T40" s="42">
        <v>-0.48093340922026201</v>
      </c>
      <c r="U40" s="42">
        <v>0.71981057616416699</v>
      </c>
      <c r="V40" s="42">
        <v>-0.28018942383583301</v>
      </c>
      <c r="W40" s="42"/>
    </row>
    <row r="41" spans="1:23" ht="16.5" customHeight="1">
      <c r="A41" s="27">
        <v>13</v>
      </c>
      <c r="B41" s="27" t="s">
        <v>56</v>
      </c>
      <c r="C41" s="42">
        <v>0.82678792889623798</v>
      </c>
      <c r="D41" s="42">
        <v>-0.17321207110376199</v>
      </c>
      <c r="E41" s="42">
        <v>0.915085843767246</v>
      </c>
      <c r="F41" s="42">
        <v>-8.4914156232754195E-2</v>
      </c>
      <c r="G41" s="42">
        <v>0.37454185505230497</v>
      </c>
      <c r="H41" s="42">
        <v>-0.62545814494769503</v>
      </c>
      <c r="I41" s="42"/>
      <c r="J41" s="42">
        <v>0.95273529006476498</v>
      </c>
      <c r="K41" s="42">
        <v>4.7264709935234898E-2</v>
      </c>
      <c r="L41" s="42">
        <v>0.61005722917817196</v>
      </c>
      <c r="M41" s="42">
        <v>-0.38994277082182799</v>
      </c>
      <c r="N41" s="42">
        <v>0.46817731881537999</v>
      </c>
      <c r="O41" s="42">
        <v>-0.53182268118461995</v>
      </c>
      <c r="P41" s="42"/>
      <c r="Q41" s="42">
        <v>0.30133664048504899</v>
      </c>
      <c r="R41" s="42">
        <v>-0.69866335951495095</v>
      </c>
      <c r="S41" s="42">
        <v>0.81910350637655105</v>
      </c>
      <c r="T41" s="42">
        <v>0.18089649362344901</v>
      </c>
      <c r="U41" s="42">
        <v>0.31116402257952303</v>
      </c>
      <c r="V41" s="42">
        <v>-0.68883597742047697</v>
      </c>
      <c r="W41" s="42"/>
    </row>
    <row r="42" spans="1:23" ht="16.5" customHeight="1">
      <c r="A42" s="27">
        <v>14</v>
      </c>
      <c r="B42" s="27" t="s">
        <v>50</v>
      </c>
      <c r="C42" s="42">
        <v>0.88705916642377602</v>
      </c>
      <c r="D42" s="42">
        <v>0.112940833576224</v>
      </c>
      <c r="E42" s="42">
        <v>0.84412193344666597</v>
      </c>
      <c r="F42" s="42">
        <v>-0.155878066553334</v>
      </c>
      <c r="G42" s="42">
        <v>0.79763663220088599</v>
      </c>
      <c r="H42" s="42">
        <v>-0.20236336779911401</v>
      </c>
      <c r="I42" s="42"/>
      <c r="J42" s="42">
        <v>0.90061206652578696</v>
      </c>
      <c r="K42" s="42">
        <v>9.9387933474213194E-2</v>
      </c>
      <c r="L42" s="42">
        <v>0.96550886573961603</v>
      </c>
      <c r="M42" s="42">
        <v>-3.4491134260383798E-2</v>
      </c>
      <c r="N42" s="42">
        <v>0.88257016248153597</v>
      </c>
      <c r="O42" s="42">
        <v>-0.117429837518464</v>
      </c>
      <c r="P42" s="42"/>
      <c r="Q42" s="42">
        <v>0.82679976683182699</v>
      </c>
      <c r="R42" s="42">
        <v>-0.17320023316817301</v>
      </c>
      <c r="S42" s="42">
        <v>0.77647558902113201</v>
      </c>
      <c r="T42" s="42">
        <v>-0.22352441097886799</v>
      </c>
      <c r="U42" s="42">
        <v>0.81093057607090102</v>
      </c>
      <c r="V42" s="42">
        <v>-0.18906942392909901</v>
      </c>
      <c r="W42" s="42"/>
    </row>
    <row r="43" spans="1:23" ht="16.5" customHeight="1">
      <c r="A43" s="27">
        <v>15</v>
      </c>
      <c r="B43" s="27" t="s">
        <v>70</v>
      </c>
      <c r="C43" s="42">
        <v>0.88789793162424502</v>
      </c>
      <c r="D43" s="42">
        <v>0.112102068375755</v>
      </c>
      <c r="E43" s="42">
        <v>0</v>
      </c>
      <c r="F43" s="42">
        <v>1.6198983073366799</v>
      </c>
      <c r="G43" s="42">
        <v>0.91126498921566101</v>
      </c>
      <c r="H43" s="42">
        <v>-8.8735010784339097E-2</v>
      </c>
      <c r="I43" s="42"/>
      <c r="J43" s="42">
        <v>0.26083206262071301</v>
      </c>
      <c r="K43" s="42">
        <v>0.73916793737928699</v>
      </c>
      <c r="L43" s="42">
        <v>0</v>
      </c>
      <c r="M43" s="42">
        <v>1.5450761926294301</v>
      </c>
      <c r="N43" s="42">
        <v>0.88696376485327599</v>
      </c>
      <c r="O43" s="42">
        <v>0.11303623514672401</v>
      </c>
      <c r="P43" s="42"/>
      <c r="Q43" s="42">
        <v>0</v>
      </c>
      <c r="R43" s="42">
        <v>2.7325912371658001</v>
      </c>
      <c r="S43" s="42">
        <v>0</v>
      </c>
      <c r="T43" s="42">
        <v>2.1186072801266098</v>
      </c>
      <c r="U43" s="42">
        <v>0.649883522894114</v>
      </c>
      <c r="V43" s="42">
        <v>0.350116477105887</v>
      </c>
      <c r="W43" s="42"/>
    </row>
    <row r="44" spans="1:23" ht="16.5" customHeight="1">
      <c r="A44" s="27">
        <v>16</v>
      </c>
      <c r="B44" s="27" t="s">
        <v>50</v>
      </c>
      <c r="C44" s="42">
        <v>0.85100772273497804</v>
      </c>
      <c r="D44" s="42">
        <v>0.14899227726502201</v>
      </c>
      <c r="E44" s="42">
        <v>0.73979591836733405</v>
      </c>
      <c r="F44" s="42">
        <v>-0.26020408163266601</v>
      </c>
      <c r="G44" s="42">
        <v>0.69156293222683296</v>
      </c>
      <c r="H44" s="42">
        <v>-0.30843706777316698</v>
      </c>
      <c r="I44" s="42"/>
      <c r="J44" s="42">
        <v>0.91760209587492902</v>
      </c>
      <c r="K44" s="42">
        <v>-8.2397904125070601E-2</v>
      </c>
      <c r="L44" s="42">
        <v>0.79719387755102</v>
      </c>
      <c r="M44" s="42">
        <v>-0.20280612244898</v>
      </c>
      <c r="N44" s="42">
        <v>0.90767634854771795</v>
      </c>
      <c r="O44" s="42">
        <v>-9.2323651452282204E-2</v>
      </c>
      <c r="P44" s="42"/>
      <c r="Q44" s="42">
        <v>0.78451685816537997</v>
      </c>
      <c r="R44" s="42">
        <v>-0.21548314183462</v>
      </c>
      <c r="S44" s="42">
        <v>0.58290816326530603</v>
      </c>
      <c r="T44" s="42">
        <v>-0.41709183673469402</v>
      </c>
      <c r="U44" s="42">
        <v>0.70867911479944701</v>
      </c>
      <c r="V44" s="42">
        <v>-0.29132088520055299</v>
      </c>
      <c r="W44" s="42"/>
    </row>
    <row r="45" spans="1:23" ht="16.5" customHeight="1">
      <c r="A45" s="27">
        <v>17</v>
      </c>
      <c r="B45" s="27" t="s">
        <v>48</v>
      </c>
      <c r="C45" s="42">
        <v>0.92537313432835799</v>
      </c>
      <c r="D45" s="42">
        <v>-7.4626865671641798E-2</v>
      </c>
      <c r="E45" s="42">
        <v>0.62733644859807303</v>
      </c>
      <c r="F45" s="42">
        <v>0.37266355140192697</v>
      </c>
      <c r="G45" s="42">
        <v>0.93885800909550299</v>
      </c>
      <c r="H45" s="42">
        <v>6.11419909044972E-2</v>
      </c>
      <c r="I45" s="42"/>
      <c r="J45" s="42">
        <v>0.92672802388047804</v>
      </c>
      <c r="K45" s="42">
        <v>7.3271976119522297E-2</v>
      </c>
      <c r="L45" s="42">
        <v>0.65127570093446296</v>
      </c>
      <c r="M45" s="42">
        <v>0.34872429906553698</v>
      </c>
      <c r="N45" s="42">
        <v>0.85208670581086399</v>
      </c>
      <c r="O45" s="42">
        <v>0.14791329418913601</v>
      </c>
      <c r="P45" s="42"/>
      <c r="Q45" s="42">
        <v>0.75761194029850698</v>
      </c>
      <c r="R45" s="42">
        <v>0.24238805970149299</v>
      </c>
      <c r="S45" s="42">
        <v>0.78271028037383195</v>
      </c>
      <c r="T45" s="42">
        <v>0.217289719626168</v>
      </c>
      <c r="U45" s="42">
        <v>0.98029307731177395</v>
      </c>
      <c r="V45" s="42">
        <v>1.9706922688226401E-2</v>
      </c>
      <c r="W45" s="43"/>
    </row>
    <row r="46" spans="1:23" ht="16.5" customHeight="1">
      <c r="A46" s="27">
        <v>18</v>
      </c>
      <c r="B46" s="27" t="s">
        <v>52</v>
      </c>
      <c r="C46" s="42">
        <v>0.60091755318464402</v>
      </c>
      <c r="D46" s="42">
        <v>-0.39908244681535598</v>
      </c>
      <c r="E46" s="42">
        <v>0.96302322141694996</v>
      </c>
      <c r="F46" s="42">
        <v>-3.6976778583049701E-2</v>
      </c>
      <c r="G46" s="42">
        <v>0.71388660640921897</v>
      </c>
      <c r="H46" s="42">
        <v>-0.28611339359078097</v>
      </c>
      <c r="I46" s="42"/>
      <c r="J46" s="42">
        <v>0.366512098640492</v>
      </c>
      <c r="K46" s="42">
        <v>-0.63348790135950805</v>
      </c>
      <c r="L46" s="42">
        <v>0.772666765271395</v>
      </c>
      <c r="M46" s="42">
        <v>-0.227333234728605</v>
      </c>
      <c r="N46" s="42">
        <v>0.43040262943306501</v>
      </c>
      <c r="O46" s="42">
        <v>-0.56959737056693505</v>
      </c>
      <c r="P46" s="42"/>
      <c r="Q46" s="42">
        <v>0.32604659519674201</v>
      </c>
      <c r="R46" s="42">
        <v>-0.67395340480325805</v>
      </c>
      <c r="S46" s="42">
        <v>0.86969383227333197</v>
      </c>
      <c r="T46" s="42">
        <v>-0.130306167726668</v>
      </c>
      <c r="U46" s="42">
        <v>0.92292522596548898</v>
      </c>
      <c r="V46" s="42">
        <v>-7.7074774034511101E-2</v>
      </c>
      <c r="W46" s="43"/>
    </row>
    <row r="47" spans="1:23" ht="16.5" customHeight="1">
      <c r="A47" s="27">
        <v>19</v>
      </c>
      <c r="B47" s="27" t="s">
        <v>48</v>
      </c>
      <c r="C47" s="42">
        <v>0.88795282224094396</v>
      </c>
      <c r="D47" s="42">
        <v>0.112047177759056</v>
      </c>
      <c r="E47" s="42">
        <v>0.71695760598494396</v>
      </c>
      <c r="F47" s="42">
        <v>-0.28304239401505599</v>
      </c>
      <c r="G47" s="42">
        <v>0.66624365482233505</v>
      </c>
      <c r="H47" s="42">
        <v>-0.333756345177665</v>
      </c>
      <c r="I47" s="42"/>
      <c r="J47" s="42">
        <v>0.75725802864376601</v>
      </c>
      <c r="K47" s="42">
        <v>-0.24274197135623399</v>
      </c>
      <c r="L47" s="42">
        <v>0.68977774320452001</v>
      </c>
      <c r="M47" s="42">
        <v>-0.31022225679547999</v>
      </c>
      <c r="N47" s="42">
        <v>0.63063304511418095</v>
      </c>
      <c r="O47" s="42">
        <v>-0.369366954885819</v>
      </c>
      <c r="P47" s="42"/>
      <c r="Q47" s="42">
        <v>0.98525695029486104</v>
      </c>
      <c r="R47" s="42">
        <v>-1.4743049705139E-2</v>
      </c>
      <c r="S47" s="42">
        <v>0.791147132169576</v>
      </c>
      <c r="T47" s="42">
        <v>-0.208852867830424</v>
      </c>
      <c r="U47" s="42">
        <v>0.63546954314720805</v>
      </c>
      <c r="V47" s="42">
        <v>-0.36453045685279201</v>
      </c>
      <c r="W47" s="43"/>
    </row>
    <row r="48" spans="1:23" ht="16.5" customHeight="1">
      <c r="A48" s="27">
        <v>20</v>
      </c>
      <c r="B48" s="27" t="s">
        <v>42</v>
      </c>
      <c r="C48" s="42">
        <v>0.87477411219395895</v>
      </c>
      <c r="D48" s="42">
        <v>0.12522588780604099</v>
      </c>
      <c r="E48" s="42">
        <v>0.80208333332916704</v>
      </c>
      <c r="F48" s="42">
        <v>0.19791666667083299</v>
      </c>
      <c r="G48" s="42">
        <v>0.81159420289782602</v>
      </c>
      <c r="H48" s="42">
        <v>0.18840579710217401</v>
      </c>
      <c r="I48" s="42"/>
      <c r="J48" s="42">
        <v>0.89586734496912801</v>
      </c>
      <c r="K48" s="42">
        <v>0.104132655030872</v>
      </c>
      <c r="L48" s="42">
        <v>0.56106799739583302</v>
      </c>
      <c r="M48" s="42">
        <v>0.43893200260416698</v>
      </c>
      <c r="N48" s="42">
        <v>0.77499677441449299</v>
      </c>
      <c r="O48" s="42">
        <v>0.22500322558550701</v>
      </c>
      <c r="P48" s="42"/>
      <c r="Q48" s="42">
        <v>0.69798657718120805</v>
      </c>
      <c r="R48" s="42">
        <v>-0.30201342281879201</v>
      </c>
      <c r="S48" s="42">
        <v>0.59375</v>
      </c>
      <c r="T48" s="42">
        <v>-0.40625</v>
      </c>
      <c r="U48" s="42">
        <v>0.97826086956521696</v>
      </c>
      <c r="V48" s="42">
        <v>-2.1739130434782601E-2</v>
      </c>
      <c r="W48" s="42"/>
    </row>
    <row r="49" spans="2:24" s="18" customFormat="1" ht="16.5" customHeight="1">
      <c r="B49" s="38"/>
      <c r="C49" s="38"/>
      <c r="D49" s="38"/>
      <c r="E49" s="38"/>
      <c r="F49" s="38"/>
      <c r="G49" s="38"/>
      <c r="H49" s="38"/>
      <c r="I49" s="38"/>
      <c r="J49" s="38"/>
      <c r="K49" s="38"/>
      <c r="L49" s="38"/>
      <c r="M49" s="38"/>
      <c r="N49" s="38"/>
      <c r="O49" s="38"/>
      <c r="P49" s="38"/>
      <c r="Q49" s="38"/>
      <c r="R49" s="38"/>
      <c r="S49" s="38"/>
      <c r="T49" s="38"/>
      <c r="U49" s="38"/>
      <c r="V49" s="38"/>
      <c r="W49" s="39"/>
      <c r="X49" s="39"/>
    </row>
    <row r="50" spans="2:24" s="18" customFormat="1" ht="16.5" customHeight="1">
      <c r="B50" s="38"/>
      <c r="C50" s="38"/>
      <c r="D50" s="38"/>
      <c r="E50" s="38"/>
      <c r="F50" s="38"/>
      <c r="G50" s="38"/>
      <c r="H50" s="38"/>
      <c r="I50" s="38"/>
      <c r="J50" s="38"/>
      <c r="K50" s="38"/>
      <c r="L50" s="38"/>
      <c r="M50" s="38"/>
      <c r="N50" s="38"/>
      <c r="O50" s="38"/>
      <c r="P50" s="38"/>
      <c r="Q50" s="38"/>
      <c r="R50" s="38"/>
      <c r="S50" s="38"/>
      <c r="T50" s="38"/>
      <c r="U50" s="38"/>
      <c r="V50" s="38"/>
      <c r="W50" s="39"/>
      <c r="X50" s="39"/>
    </row>
    <row r="51" spans="2:24" s="18" customFormat="1" ht="16.5" customHeight="1">
      <c r="B51" s="38"/>
      <c r="C51" s="38"/>
      <c r="D51" s="38"/>
      <c r="E51" s="38"/>
      <c r="F51" s="38"/>
      <c r="G51" s="38"/>
      <c r="H51" s="38"/>
      <c r="I51" s="38"/>
      <c r="J51" s="38"/>
      <c r="K51" s="38"/>
      <c r="L51" s="38"/>
      <c r="M51" s="38"/>
      <c r="N51" s="38"/>
      <c r="O51" s="38"/>
      <c r="P51" s="38"/>
      <c r="Q51" s="38"/>
      <c r="R51" s="38"/>
      <c r="S51" s="38"/>
      <c r="T51" s="38"/>
      <c r="U51" s="38"/>
      <c r="V51" s="38"/>
      <c r="W51" s="39"/>
      <c r="X51" s="39"/>
    </row>
    <row r="52" spans="2:24" s="18" customFormat="1" ht="16.5" customHeight="1">
      <c r="B52" s="38"/>
      <c r="C52" s="38"/>
      <c r="D52" s="38"/>
      <c r="E52" s="38"/>
      <c r="F52" s="38"/>
      <c r="G52" s="38"/>
      <c r="H52" s="38"/>
      <c r="I52" s="38"/>
      <c r="J52" s="38"/>
      <c r="K52" s="38"/>
      <c r="L52" s="38"/>
      <c r="M52" s="38"/>
      <c r="N52" s="38"/>
      <c r="O52" s="38"/>
      <c r="P52" s="38"/>
      <c r="Q52" s="38"/>
      <c r="R52" s="38"/>
      <c r="S52" s="38"/>
      <c r="T52" s="38"/>
      <c r="U52" s="38"/>
      <c r="V52" s="38"/>
      <c r="W52" s="39"/>
      <c r="X52" s="39"/>
    </row>
    <row r="53" spans="2:24" s="18" customFormat="1" ht="16.5" customHeight="1">
      <c r="B53" s="38"/>
      <c r="C53" s="38"/>
      <c r="D53" s="38"/>
      <c r="E53" s="38"/>
      <c r="F53" s="38"/>
      <c r="G53" s="38"/>
      <c r="H53" s="38"/>
      <c r="I53" s="38"/>
      <c r="J53" s="38"/>
      <c r="K53" s="38"/>
      <c r="L53" s="38"/>
      <c r="M53" s="38"/>
      <c r="N53" s="38"/>
      <c r="O53" s="38"/>
      <c r="P53" s="38"/>
      <c r="Q53" s="38"/>
      <c r="R53" s="38"/>
      <c r="S53" s="38"/>
      <c r="T53" s="38"/>
      <c r="U53" s="38"/>
      <c r="V53" s="38"/>
      <c r="W53" s="39"/>
      <c r="X53" s="39"/>
    </row>
    <row r="54" spans="2:24" s="18" customFormat="1" ht="16.5" customHeight="1">
      <c r="B54" s="38"/>
      <c r="C54" s="38"/>
      <c r="D54" s="38"/>
      <c r="E54" s="38"/>
      <c r="F54" s="38"/>
      <c r="G54" s="38"/>
      <c r="H54" s="38"/>
      <c r="I54" s="38"/>
      <c r="J54" s="38"/>
      <c r="K54" s="38"/>
      <c r="L54" s="38"/>
      <c r="M54" s="38"/>
      <c r="N54" s="38"/>
      <c r="O54" s="38"/>
      <c r="P54" s="38"/>
      <c r="Q54" s="38"/>
      <c r="R54" s="38"/>
      <c r="S54" s="38"/>
      <c r="T54" s="38"/>
      <c r="U54" s="38"/>
      <c r="V54" s="38"/>
      <c r="W54" s="39"/>
      <c r="X54" s="39"/>
    </row>
    <row r="55" spans="2:24" s="18" customFormat="1" ht="16.5" customHeight="1">
      <c r="B55" s="38"/>
      <c r="C55" s="38"/>
      <c r="D55" s="38"/>
      <c r="E55" s="38"/>
      <c r="F55" s="38"/>
      <c r="G55" s="38"/>
      <c r="H55" s="38"/>
      <c r="I55" s="38"/>
      <c r="J55" s="38"/>
      <c r="K55" s="38"/>
      <c r="L55" s="38"/>
      <c r="M55" s="38"/>
      <c r="N55" s="38"/>
      <c r="O55" s="38"/>
      <c r="P55" s="38"/>
      <c r="Q55" s="38"/>
      <c r="R55" s="38"/>
      <c r="S55" s="38"/>
      <c r="T55" s="38"/>
      <c r="U55" s="38"/>
      <c r="V55" s="38"/>
      <c r="W55" s="39"/>
      <c r="X55" s="39"/>
    </row>
    <row r="56" spans="2:24" s="18" customFormat="1" ht="16.5" customHeight="1">
      <c r="B56" s="38"/>
      <c r="C56" s="38"/>
      <c r="D56" s="38"/>
      <c r="E56" s="38"/>
      <c r="F56" s="38"/>
      <c r="G56" s="38"/>
      <c r="H56" s="38"/>
      <c r="I56" s="38"/>
      <c r="J56" s="38"/>
      <c r="K56" s="38"/>
      <c r="L56" s="38"/>
      <c r="M56" s="38"/>
      <c r="N56" s="38"/>
      <c r="O56" s="38"/>
      <c r="P56" s="38"/>
      <c r="Q56" s="38"/>
      <c r="R56" s="38"/>
      <c r="S56" s="38"/>
      <c r="T56" s="38"/>
      <c r="U56" s="38"/>
      <c r="V56" s="38"/>
      <c r="W56" s="39"/>
      <c r="X56" s="39"/>
    </row>
    <row r="57" spans="2:24" s="18" customFormat="1" ht="16.5" customHeight="1">
      <c r="B57" s="39"/>
      <c r="C57" s="39"/>
      <c r="D57" s="39"/>
      <c r="E57" s="39"/>
      <c r="F57" s="39"/>
      <c r="G57" s="39"/>
      <c r="H57" s="39"/>
      <c r="I57" s="39"/>
      <c r="J57" s="39"/>
      <c r="K57" s="39"/>
      <c r="L57" s="39"/>
      <c r="M57" s="39"/>
      <c r="N57" s="39"/>
      <c r="O57" s="39"/>
      <c r="P57" s="39"/>
      <c r="Q57" s="39"/>
      <c r="R57" s="39"/>
      <c r="S57" s="39"/>
      <c r="T57" s="39"/>
      <c r="U57" s="39"/>
      <c r="V57" s="39"/>
      <c r="W57" s="39"/>
      <c r="X57" s="39"/>
    </row>
    <row r="58" spans="2:24" s="18" customFormat="1" ht="16.5" customHeight="1">
      <c r="B58" s="39"/>
      <c r="C58" s="39"/>
      <c r="D58" s="39"/>
      <c r="E58" s="39"/>
      <c r="F58" s="39"/>
      <c r="G58" s="39"/>
      <c r="H58" s="39"/>
      <c r="I58" s="39"/>
      <c r="J58" s="39"/>
      <c r="K58" s="39"/>
      <c r="L58" s="39"/>
      <c r="M58" s="39"/>
      <c r="N58" s="39"/>
      <c r="O58" s="39"/>
      <c r="P58" s="39"/>
      <c r="Q58" s="39"/>
      <c r="R58" s="39"/>
      <c r="S58" s="39"/>
      <c r="T58" s="39"/>
      <c r="U58" s="39"/>
      <c r="V58" s="39"/>
      <c r="W58" s="39"/>
      <c r="X58" s="39"/>
    </row>
    <row r="59" spans="2:24" s="18" customFormat="1" ht="16.5" customHeight="1">
      <c r="B59" s="39"/>
      <c r="C59" s="39"/>
      <c r="D59" s="39"/>
      <c r="E59" s="39"/>
      <c r="F59" s="39"/>
      <c r="G59" s="39"/>
      <c r="H59" s="39"/>
      <c r="I59" s="39"/>
      <c r="J59" s="39"/>
      <c r="K59" s="39"/>
      <c r="L59" s="39"/>
      <c r="M59" s="39"/>
      <c r="N59" s="39"/>
      <c r="O59" s="39"/>
      <c r="P59" s="39"/>
      <c r="Q59" s="39"/>
      <c r="R59" s="39"/>
      <c r="S59" s="39"/>
      <c r="T59" s="39"/>
      <c r="U59" s="39"/>
      <c r="V59" s="39"/>
      <c r="W59" s="39"/>
      <c r="X59" s="39"/>
    </row>
    <row r="60" spans="2:24" s="18" customFormat="1" ht="16.5" customHeight="1"/>
    <row r="61" spans="2:24" s="18" customFormat="1" ht="16.5" customHeight="1"/>
    <row r="62" spans="2:24" s="18" customFormat="1" ht="16.5" customHeight="1"/>
    <row r="63" spans="2:24" s="18" customFormat="1" ht="16.5" customHeight="1"/>
    <row r="64" spans="2:24" s="18" customFormat="1" ht="16.5" customHeight="1"/>
    <row r="65" s="18" customFormat="1" ht="16.5" customHeight="1"/>
    <row r="66" s="18" customFormat="1" ht="16.5" customHeight="1"/>
    <row r="67" s="18" customFormat="1" ht="16.5" customHeight="1"/>
    <row r="68" s="18" customFormat="1" ht="16.5" customHeight="1"/>
    <row r="69" s="18" customFormat="1" ht="16.5" customHeight="1"/>
    <row r="70" s="18" customFormat="1" ht="16.5" customHeight="1"/>
    <row r="71" s="18" customFormat="1" ht="16.5" customHeight="1"/>
    <row r="72" s="18" customFormat="1" ht="16.5" customHeight="1"/>
    <row r="73" s="18" customFormat="1" ht="16.5" customHeight="1"/>
    <row r="74" s="18" customFormat="1" ht="16.5" customHeight="1"/>
    <row r="75" s="18" customFormat="1" ht="16.5" customHeight="1"/>
    <row r="76" s="18" customFormat="1" ht="16.5" customHeight="1"/>
    <row r="77" s="18" customFormat="1" ht="16.5" customHeight="1"/>
    <row r="78" s="18" customFormat="1" ht="16.5" customHeight="1"/>
    <row r="79" s="18" customFormat="1" ht="16.5" customHeight="1"/>
    <row r="80" s="18" customFormat="1" ht="16.5" customHeight="1"/>
    <row r="81" s="18" customFormat="1" ht="16.5" customHeight="1"/>
    <row r="82" s="18" customFormat="1" ht="16.5" customHeight="1"/>
    <row r="83" s="18" customFormat="1" ht="16.5" customHeight="1"/>
    <row r="84" s="18" customFormat="1" ht="16.5" customHeight="1"/>
    <row r="85" s="18" customFormat="1" ht="16.5" customHeight="1"/>
    <row r="86" s="18" customFormat="1" ht="16.5" customHeight="1"/>
    <row r="87" s="18" customFormat="1" ht="16.5" customHeight="1"/>
    <row r="88" s="18" customFormat="1" ht="16.5" customHeight="1"/>
    <row r="89" s="18" customFormat="1" ht="16.5" customHeight="1"/>
    <row r="90" s="18" customFormat="1" ht="16.5" customHeight="1"/>
    <row r="91" s="18" customFormat="1" ht="16.5" customHeight="1"/>
    <row r="92" s="18" customFormat="1" ht="16.5" customHeight="1"/>
    <row r="93" s="18" customFormat="1" ht="16.5" customHeight="1"/>
    <row r="94" s="18" customFormat="1" ht="16.5" customHeight="1"/>
    <row r="95" s="18" customFormat="1" ht="16.5" customHeight="1"/>
    <row r="96" s="18" customFormat="1" ht="16.5" customHeight="1"/>
    <row r="97" s="18" customFormat="1" ht="16.5" customHeight="1"/>
    <row r="98" s="18" customFormat="1" ht="16.5" customHeight="1"/>
    <row r="99" s="18" customFormat="1" ht="16.5" customHeight="1"/>
    <row r="100" s="18" customFormat="1" ht="16.5" customHeight="1"/>
    <row r="101" s="18" customFormat="1" ht="16.5" customHeight="1"/>
    <row r="102" s="18" customFormat="1" ht="16.5" customHeight="1"/>
    <row r="103" s="18" customFormat="1" ht="16.5" customHeight="1"/>
    <row r="104" s="18" customFormat="1" ht="16.5" customHeight="1"/>
    <row r="105" s="18" customFormat="1" ht="16.5" customHeight="1"/>
    <row r="106" s="18" customFormat="1" ht="16.5" customHeight="1"/>
    <row r="107" s="18" customFormat="1" ht="16.5" customHeight="1"/>
    <row r="108" s="18" customFormat="1" ht="16.5" customHeight="1"/>
    <row r="109" s="18" customFormat="1" ht="16.5" customHeight="1"/>
    <row r="110" s="18" customFormat="1" ht="16.5" customHeight="1"/>
    <row r="111" s="18" customFormat="1" ht="16.5" customHeight="1"/>
    <row r="112" s="18" customFormat="1" ht="16.5" customHeight="1"/>
    <row r="113" s="18" customFormat="1" ht="16.5" customHeight="1"/>
    <row r="114" s="18" customFormat="1" ht="16.5" customHeight="1"/>
    <row r="115" s="18" customFormat="1" ht="16.5" customHeight="1"/>
    <row r="116" s="18" customFormat="1" ht="16.5" customHeight="1"/>
    <row r="117" s="18" customFormat="1" ht="16.5" customHeight="1"/>
    <row r="118" s="18" customFormat="1" ht="16.5" customHeight="1"/>
    <row r="119" s="18" customFormat="1" ht="16.5" customHeight="1"/>
    <row r="120" s="18" customFormat="1" ht="16.5" customHeight="1"/>
    <row r="121" s="18" customFormat="1" ht="16.5" customHeight="1"/>
    <row r="122" s="18" customFormat="1" ht="16.5" customHeight="1"/>
    <row r="123" s="18" customFormat="1" ht="16.5" customHeight="1"/>
    <row r="124" s="18" customFormat="1" ht="16.5" customHeight="1"/>
    <row r="125" s="18" customFormat="1" ht="16.5" customHeight="1"/>
    <row r="126" s="18" customFormat="1" ht="16.5" customHeight="1"/>
    <row r="127" s="18" customFormat="1" ht="16.5" customHeight="1"/>
    <row r="128" s="18" customFormat="1" ht="16.5" customHeight="1"/>
    <row r="129" s="18" customFormat="1" ht="16.5" customHeight="1"/>
    <row r="130" s="18" customFormat="1" ht="16.5" customHeight="1"/>
    <row r="131" s="18" customFormat="1" ht="16.5" customHeight="1"/>
    <row r="132" s="18" customFormat="1" ht="16.5" customHeight="1"/>
    <row r="133" s="18" customFormat="1" ht="16.5" customHeight="1"/>
    <row r="134" s="18" customFormat="1" ht="16.5" customHeight="1"/>
    <row r="135" s="18" customFormat="1" ht="16.5" customHeight="1"/>
    <row r="136" s="18" customFormat="1" ht="16.5" customHeight="1"/>
    <row r="137" s="18" customFormat="1" ht="16.5" customHeight="1"/>
    <row r="138" s="18" customFormat="1" ht="16.5" customHeight="1"/>
    <row r="139" s="18" customFormat="1" ht="16.5" customHeight="1"/>
    <row r="140" s="18" customFormat="1" ht="16.5" customHeight="1"/>
    <row r="141" s="18" customFormat="1" ht="16.5" customHeight="1"/>
    <row r="142" s="18" customFormat="1" ht="16.5" customHeight="1"/>
    <row r="143" s="18" customFormat="1" ht="16.5" customHeight="1"/>
    <row r="144" s="18" customFormat="1" ht="16.5" customHeight="1"/>
    <row r="145" s="18" customFormat="1" ht="16.5" customHeight="1"/>
    <row r="146" s="18" customFormat="1" ht="16.5" customHeight="1"/>
    <row r="147" s="18" customFormat="1" ht="16.5" customHeight="1"/>
    <row r="148" s="18" customFormat="1" ht="16.5" customHeight="1"/>
    <row r="149" s="18" customFormat="1" ht="16.5" customHeight="1"/>
    <row r="150" s="18" customFormat="1" ht="16.5" customHeight="1"/>
    <row r="151" s="18" customFormat="1" ht="16.5" customHeight="1"/>
    <row r="152" s="18" customFormat="1" ht="16.5" customHeight="1"/>
    <row r="153" s="18" customFormat="1" ht="16.5" customHeight="1"/>
    <row r="154" s="18" customFormat="1" ht="16.5" customHeight="1"/>
    <row r="155" s="18" customFormat="1" ht="16.5" customHeight="1"/>
    <row r="156" s="18" customFormat="1" ht="16.5" customHeight="1"/>
    <row r="157" s="18" customFormat="1" ht="16.5" customHeight="1"/>
    <row r="158" s="18" customFormat="1" ht="16.5" customHeight="1"/>
    <row r="159" s="18" customFormat="1" ht="16.5" customHeight="1"/>
    <row r="160" s="18" customFormat="1" ht="16.5" customHeight="1"/>
    <row r="161" s="18" customFormat="1" ht="16.5" customHeight="1"/>
    <row r="162" s="18" customFormat="1" ht="16.5" customHeight="1"/>
    <row r="163" s="18" customFormat="1" ht="16.5" customHeight="1"/>
    <row r="164" s="18" customFormat="1" ht="16.5" customHeight="1"/>
    <row r="165" s="18" customFormat="1" ht="16.5" customHeight="1"/>
    <row r="166" s="18" customFormat="1" ht="16.5" customHeight="1"/>
    <row r="167" s="18" customFormat="1" ht="16.5" customHeight="1"/>
    <row r="168" s="18" customFormat="1" ht="16.5" customHeight="1"/>
    <row r="169" s="18" customFormat="1" ht="16.5" customHeight="1"/>
    <row r="170" s="18" customFormat="1" ht="16.5" customHeight="1"/>
    <row r="171" s="18" customFormat="1" ht="16.5" customHeight="1"/>
    <row r="172" s="18" customFormat="1" ht="16.5" customHeight="1"/>
    <row r="173" s="18" customFormat="1" ht="16.5" customHeight="1"/>
    <row r="174" s="18" customFormat="1" ht="16.5" customHeight="1"/>
    <row r="175" s="18" customFormat="1" ht="16.5" customHeight="1"/>
    <row r="176" s="18" customFormat="1" ht="16.5" customHeight="1"/>
    <row r="177" s="18" customFormat="1" ht="16.5" customHeight="1"/>
    <row r="178" s="18" customFormat="1" ht="16.5" customHeight="1"/>
    <row r="179" s="18" customFormat="1" ht="16.5" customHeight="1"/>
    <row r="180" s="18" customFormat="1" ht="16.5" customHeight="1"/>
    <row r="181" s="18" customFormat="1" ht="16.5" customHeight="1"/>
    <row r="182" s="18" customFormat="1" ht="16.5" customHeight="1"/>
    <row r="183" s="18" customFormat="1" ht="16.5" customHeight="1"/>
    <row r="184" s="18" customFormat="1" ht="16.5" customHeight="1"/>
    <row r="185" s="18" customFormat="1" ht="16.5" customHeight="1"/>
    <row r="186" s="18" customFormat="1" ht="16.5" customHeight="1"/>
    <row r="187" s="18" customFormat="1" ht="16.5" customHeight="1"/>
    <row r="188" s="18" customFormat="1" ht="16.5" customHeight="1"/>
    <row r="189" s="18" customFormat="1" ht="16.5" customHeight="1"/>
    <row r="190" s="18" customFormat="1" ht="16.5" customHeight="1"/>
    <row r="191" s="18" customFormat="1" ht="16.5" customHeight="1"/>
    <row r="192" s="18" customFormat="1" ht="16.5" customHeight="1"/>
    <row r="193" s="18" customFormat="1" ht="16.5" customHeight="1"/>
    <row r="194" s="18" customFormat="1" ht="16.5" customHeight="1"/>
    <row r="195" s="18" customFormat="1" ht="16.5" customHeight="1"/>
    <row r="196" s="18" customFormat="1" ht="16.5" customHeight="1"/>
    <row r="197" s="18" customFormat="1" ht="16.5" customHeight="1"/>
    <row r="198" s="18" customFormat="1" ht="16.5" customHeight="1"/>
    <row r="199" s="18" customFormat="1" ht="16.5" customHeight="1"/>
    <row r="200" s="18" customFormat="1" ht="16.5" customHeight="1"/>
    <row r="201" s="18" customFormat="1" ht="16.5" customHeight="1"/>
    <row r="202" s="18" customFormat="1" ht="16.5" customHeight="1"/>
    <row r="203" s="18" customFormat="1" ht="16.5" customHeight="1"/>
    <row r="204" s="18" customFormat="1" ht="16.5" customHeight="1"/>
    <row r="205" s="18" customFormat="1" ht="16.5" customHeight="1"/>
    <row r="206" s="18" customFormat="1" ht="16.5" customHeight="1"/>
    <row r="207" s="18" customFormat="1" ht="16.5" customHeight="1"/>
    <row r="208" s="18" customFormat="1" ht="16.5" customHeight="1"/>
    <row r="209" s="18" customFormat="1" ht="16.5" customHeight="1"/>
    <row r="210" s="18" customFormat="1" ht="16.5" customHeight="1"/>
    <row r="211" s="18" customFormat="1" ht="16.5" customHeight="1"/>
    <row r="212" s="18" customFormat="1" ht="16.5" customHeight="1"/>
    <row r="213" s="18" customFormat="1" ht="16.5" customHeight="1"/>
    <row r="214" s="18" customFormat="1" ht="16.5" customHeight="1"/>
    <row r="215" s="18" customFormat="1" ht="16.5" customHeight="1"/>
    <row r="216" s="18" customFormat="1" ht="16.5" customHeight="1"/>
    <row r="217" s="18" customFormat="1" ht="16.5" customHeight="1"/>
    <row r="218" s="18" customFormat="1" ht="16.5" customHeight="1"/>
    <row r="219" s="18" customFormat="1" ht="16.5" customHeight="1"/>
    <row r="220" s="18" customFormat="1" ht="16.5" customHeight="1"/>
    <row r="221" s="18" customFormat="1" ht="16.5" customHeight="1"/>
    <row r="222" s="18" customFormat="1" ht="16.5" customHeight="1"/>
    <row r="223" s="18" customFormat="1" ht="16.5" customHeight="1"/>
    <row r="224" s="18" customFormat="1" ht="16.5" customHeight="1"/>
    <row r="225" s="18" customFormat="1" ht="16.5" customHeight="1"/>
    <row r="226" s="18" customFormat="1" ht="16.5" customHeight="1"/>
    <row r="227" s="18" customFormat="1" ht="16.5" customHeight="1"/>
    <row r="228" s="18" customFormat="1" ht="16.5" customHeight="1"/>
    <row r="229" s="18" customFormat="1" ht="16.5" customHeight="1"/>
    <row r="230" s="18" customFormat="1" ht="16.5" customHeight="1"/>
    <row r="231" s="18" customFormat="1" ht="16.5" customHeight="1"/>
    <row r="232" s="18" customFormat="1" ht="16.5" customHeight="1"/>
    <row r="233" s="18" customFormat="1" ht="16.5" customHeight="1"/>
    <row r="234" s="18" customFormat="1" ht="16.5" customHeight="1"/>
    <row r="235" s="18" customFormat="1" ht="16.5" customHeight="1"/>
    <row r="236" s="18" customFormat="1" ht="16.5" customHeight="1"/>
    <row r="237" s="18" customFormat="1" ht="16.5" customHeight="1"/>
    <row r="238" s="18" customFormat="1" ht="16.5" customHeight="1"/>
    <row r="239" s="18" customFormat="1" ht="16.5" customHeight="1"/>
    <row r="240" s="18" customFormat="1" ht="16.5" customHeight="1"/>
    <row r="241" s="18" customFormat="1" ht="16.5" customHeight="1"/>
    <row r="242" s="18" customFormat="1" ht="16.5" customHeight="1"/>
    <row r="243" s="18" customFormat="1" ht="16.5" customHeight="1"/>
    <row r="244" s="18" customFormat="1" ht="16.5" customHeight="1"/>
    <row r="245" s="18" customFormat="1" ht="16.5" customHeight="1"/>
    <row r="246" s="18" customFormat="1" ht="16.5" customHeight="1"/>
    <row r="247" s="18" customFormat="1" ht="16.5" customHeight="1"/>
    <row r="248" s="18" customFormat="1" ht="16.5" customHeight="1"/>
    <row r="249" s="18" customFormat="1" ht="16.5" customHeight="1"/>
    <row r="250" s="18" customFormat="1" ht="16.5" customHeight="1"/>
    <row r="251" s="18" customFormat="1" ht="16.5" customHeight="1"/>
    <row r="252" s="18" customFormat="1" ht="16.5" customHeight="1"/>
    <row r="253" s="18" customFormat="1" ht="16.5" customHeight="1"/>
    <row r="254" s="18" customFormat="1" ht="16.5" customHeight="1"/>
    <row r="255" s="18" customFormat="1" ht="16.5" customHeight="1"/>
    <row r="256" s="18" customFormat="1" ht="16.5" customHeight="1"/>
    <row r="257" s="18" customFormat="1" ht="16.5" customHeight="1"/>
    <row r="258" s="18" customFormat="1" ht="16.5" customHeight="1"/>
    <row r="259" s="18" customFormat="1" ht="16.5" customHeight="1"/>
    <row r="260" s="18" customFormat="1" ht="16.5" customHeight="1"/>
    <row r="261" s="18" customFormat="1" ht="16.5" customHeight="1"/>
    <row r="262" s="18" customFormat="1" ht="16.5" customHeight="1"/>
    <row r="263" s="18" customFormat="1" ht="16.5" customHeight="1"/>
    <row r="264" s="18" customFormat="1" ht="16.5" customHeight="1"/>
    <row r="265" s="18" customFormat="1" ht="16.5" customHeight="1"/>
    <row r="266" s="18" customFormat="1" ht="16.5" customHeight="1"/>
    <row r="267" s="18" customFormat="1" ht="16.5" customHeight="1"/>
    <row r="268" s="18" customFormat="1" ht="16.5" customHeight="1"/>
    <row r="269" s="18" customFormat="1" ht="16.5" customHeight="1"/>
    <row r="270" s="18" customFormat="1" ht="16.5" customHeight="1"/>
    <row r="271" s="18" customFormat="1" ht="16.5" customHeight="1"/>
    <row r="272" s="18" customFormat="1" ht="16.5" customHeight="1"/>
    <row r="273" s="18" customFormat="1" ht="16.5" customHeight="1"/>
    <row r="274" s="18" customFormat="1" ht="16.5" customHeight="1"/>
    <row r="275" s="18" customFormat="1" ht="16.5" customHeight="1"/>
    <row r="276" s="18" customFormat="1" ht="16.5" customHeight="1"/>
    <row r="277" s="18" customFormat="1" ht="16.5" customHeight="1"/>
    <row r="278" s="18" customFormat="1" ht="16.5" customHeight="1"/>
    <row r="279" s="18" customFormat="1" ht="16.5" customHeight="1"/>
    <row r="280" s="18" customFormat="1" ht="16.5" customHeight="1"/>
    <row r="281" s="18" customFormat="1" ht="16.5" customHeight="1"/>
    <row r="282" s="18" customFormat="1" ht="16.5" customHeight="1"/>
    <row r="283" s="18" customFormat="1" ht="16.5" customHeight="1"/>
    <row r="284" s="18" customFormat="1" ht="16.5" customHeight="1"/>
    <row r="285" s="18" customFormat="1" ht="16.5" customHeight="1"/>
    <row r="286" s="18" customFormat="1" ht="16.5" customHeight="1"/>
    <row r="287" s="18" customFormat="1" ht="16.5" customHeight="1"/>
    <row r="288" s="18" customFormat="1" ht="16.5" customHeight="1"/>
    <row r="289" s="18" customFormat="1" ht="16.5" customHeight="1"/>
    <row r="290" s="18" customFormat="1" ht="16.5" customHeight="1"/>
    <row r="291" s="18" customFormat="1" ht="16.5" customHeight="1"/>
    <row r="292" s="18" customFormat="1" ht="16.5" customHeight="1"/>
    <row r="293" s="18" customFormat="1" ht="16.5" customHeight="1"/>
    <row r="294" s="18" customFormat="1" ht="16.5" customHeight="1"/>
    <row r="295" s="18" customFormat="1" ht="16.5" customHeight="1"/>
    <row r="296" s="18" customFormat="1" ht="16.5" customHeight="1"/>
    <row r="297" s="18" customFormat="1" ht="16.5" customHeight="1"/>
    <row r="298" s="18" customFormat="1" ht="16.5" customHeight="1"/>
    <row r="299" s="18" customFormat="1" ht="16.5" customHeight="1"/>
    <row r="300" s="18" customFormat="1" ht="16.5" customHeight="1"/>
    <row r="301" s="18" customFormat="1" ht="16.5" customHeight="1"/>
    <row r="302" s="18" customFormat="1" ht="16.5" customHeight="1"/>
    <row r="303" s="18" customFormat="1" ht="16.5" customHeight="1"/>
    <row r="304" s="18" customFormat="1" ht="16.5" customHeight="1"/>
    <row r="305" s="18" customFormat="1" ht="16.5" customHeight="1"/>
    <row r="306" s="18" customFormat="1" ht="16.5" customHeight="1"/>
    <row r="307" s="18" customFormat="1" ht="16.5" customHeight="1"/>
    <row r="308" s="18" customFormat="1" ht="16.5" customHeight="1"/>
    <row r="309" s="18" customFormat="1" ht="16.5" customHeight="1"/>
    <row r="310" s="18" customFormat="1" ht="16.5" customHeight="1"/>
    <row r="311" s="18" customFormat="1" ht="16.5" customHeight="1"/>
    <row r="312" s="18" customFormat="1" ht="16.5" customHeight="1"/>
    <row r="313" s="18" customFormat="1" ht="16.5" customHeight="1"/>
    <row r="314" s="18" customFormat="1" ht="16.5" customHeight="1"/>
    <row r="315" s="18" customFormat="1" ht="16.5" customHeight="1"/>
    <row r="316" s="18" customFormat="1" ht="16.5" customHeight="1"/>
    <row r="317" s="18" customFormat="1" ht="16.5" customHeight="1"/>
    <row r="318" s="18" customFormat="1" ht="16.5" customHeight="1"/>
    <row r="319" s="18" customFormat="1" ht="16.5" customHeight="1"/>
    <row r="320" s="18" customFormat="1" ht="16.5" customHeight="1"/>
    <row r="321" s="18" customFormat="1" ht="16.5" customHeight="1"/>
    <row r="322" s="18" customFormat="1" ht="16.5" customHeight="1"/>
    <row r="323" s="18" customFormat="1" ht="16.5" customHeight="1"/>
    <row r="324" s="18" customFormat="1" ht="16.5" customHeight="1"/>
    <row r="325" s="18" customFormat="1" ht="16.5" customHeight="1"/>
    <row r="326" s="18" customFormat="1" ht="16.5" customHeight="1"/>
    <row r="327" s="18" customFormat="1" ht="16.5" customHeight="1"/>
    <row r="328" s="18" customFormat="1" ht="16.5" customHeight="1"/>
    <row r="329" s="18" customFormat="1" ht="16.5" customHeight="1"/>
    <row r="330" s="18" customFormat="1" ht="16.5" customHeight="1"/>
    <row r="331" s="18" customFormat="1" ht="16.5" customHeight="1"/>
    <row r="332" s="18" customFormat="1" ht="16.5" customHeight="1"/>
    <row r="333" s="18" customFormat="1" ht="16.5" customHeight="1"/>
    <row r="334" s="18" customFormat="1" ht="16.5" customHeight="1"/>
    <row r="335" s="18" customFormat="1" ht="16.5" customHeight="1"/>
    <row r="336" s="18" customFormat="1" ht="16.5" customHeight="1"/>
    <row r="337" s="18" customFormat="1" ht="16.5" customHeight="1"/>
    <row r="338" s="18" customFormat="1" ht="16.5" customHeight="1"/>
    <row r="339" s="18" customFormat="1" ht="16.5" customHeight="1"/>
    <row r="340" s="18" customFormat="1" ht="16.5" customHeight="1"/>
    <row r="341" s="18" customFormat="1" ht="16.5" customHeight="1"/>
    <row r="342" s="18" customFormat="1" ht="16.5" customHeight="1"/>
    <row r="343" s="18" customFormat="1" ht="16.5" customHeight="1"/>
    <row r="344" s="18" customFormat="1" ht="16.5" customHeight="1"/>
    <row r="345" s="18" customFormat="1" ht="16.5" customHeight="1"/>
    <row r="346" s="18" customFormat="1" ht="16.5" customHeight="1"/>
    <row r="347" s="18" customFormat="1" ht="16.5" customHeight="1"/>
    <row r="348" s="18" customFormat="1" ht="16.5" customHeight="1"/>
    <row r="349" s="18" customFormat="1" ht="16.5" customHeight="1"/>
    <row r="350" s="18" customFormat="1" ht="16.5" customHeight="1"/>
    <row r="351" s="18" customFormat="1" ht="16.5" customHeight="1"/>
    <row r="352" s="18" customFormat="1" ht="16.5" customHeight="1"/>
    <row r="353" s="18" customFormat="1" ht="16.5" customHeight="1"/>
    <row r="354" s="18" customFormat="1" ht="16.5" customHeight="1"/>
    <row r="355" s="18" customFormat="1" ht="16.5" customHeight="1"/>
    <row r="356" s="18" customFormat="1" ht="16.5" customHeight="1"/>
    <row r="357" s="18" customFormat="1" ht="16.5" customHeight="1"/>
    <row r="358" s="18" customFormat="1" ht="16.5" customHeight="1"/>
    <row r="359" s="18" customFormat="1" ht="16.5" customHeight="1"/>
    <row r="360" s="18" customFormat="1" ht="16.5" customHeight="1"/>
    <row r="361" s="18" customFormat="1" ht="16.5" customHeight="1"/>
    <row r="362" s="18" customFormat="1" ht="16.5" customHeight="1"/>
    <row r="363" s="18" customFormat="1" ht="16.5" customHeight="1"/>
    <row r="364" s="18" customFormat="1" ht="16.5" customHeight="1"/>
    <row r="365" s="18" customFormat="1" ht="16.5" customHeight="1"/>
    <row r="366" s="18" customFormat="1" ht="16.5" customHeight="1"/>
    <row r="367" s="18" customFormat="1" ht="16.5" customHeight="1"/>
    <row r="368" s="18" customFormat="1" ht="16.5" customHeight="1"/>
    <row r="369" s="18" customFormat="1" ht="16.5" customHeight="1"/>
    <row r="370" s="18" customFormat="1" ht="16.5" customHeight="1"/>
    <row r="371" s="18" customFormat="1" ht="16.5" customHeight="1"/>
    <row r="372" s="18" customFormat="1" ht="16.5" customHeight="1"/>
    <row r="373" s="18" customFormat="1" ht="16.5" customHeight="1"/>
    <row r="374" s="18" customFormat="1" ht="16.5" customHeight="1"/>
    <row r="375" s="18" customFormat="1" ht="16.5" customHeight="1"/>
    <row r="376" s="18" customFormat="1" ht="16.5" customHeight="1"/>
    <row r="377" s="18" customFormat="1" ht="16.5" customHeight="1"/>
    <row r="378" s="18" customFormat="1" ht="16.5" customHeight="1"/>
    <row r="379" s="18" customFormat="1" ht="16.5" customHeight="1"/>
    <row r="380" s="18" customFormat="1" ht="16.5" customHeight="1"/>
    <row r="381" s="18" customFormat="1" ht="16.5" customHeight="1"/>
    <row r="382" s="18" customFormat="1" ht="16.5" customHeight="1"/>
    <row r="383" s="18" customFormat="1" ht="16.5" customHeight="1"/>
    <row r="384" s="18" customFormat="1" ht="16.5" customHeight="1"/>
    <row r="385" s="18" customFormat="1" ht="16.5" customHeight="1"/>
    <row r="386" s="18" customFormat="1" ht="16.5" customHeight="1"/>
    <row r="387" s="18" customFormat="1" ht="16.5" customHeight="1"/>
    <row r="388" s="18" customFormat="1" ht="16.5" customHeight="1"/>
    <row r="389" s="18" customFormat="1" ht="16.5" customHeight="1"/>
    <row r="390" s="18" customFormat="1" ht="16.5" customHeight="1"/>
    <row r="391" s="18" customFormat="1" ht="16.5" customHeight="1"/>
    <row r="392" s="18" customFormat="1" ht="16.5" customHeight="1"/>
    <row r="393" s="18" customFormat="1" ht="16.5" customHeight="1"/>
    <row r="394" s="18" customFormat="1" ht="16.5" customHeight="1"/>
    <row r="395" s="18" customFormat="1" ht="16.5" customHeight="1"/>
    <row r="396" s="18" customFormat="1" ht="16.5" customHeight="1"/>
    <row r="397" s="18" customFormat="1" ht="16.5" customHeight="1"/>
    <row r="398" s="18" customFormat="1" ht="16.5" customHeight="1"/>
    <row r="399" s="18" customFormat="1" ht="16.5" customHeight="1"/>
    <row r="400" s="18" customFormat="1" ht="16.5" customHeight="1"/>
    <row r="401" s="18" customFormat="1" ht="16.5" customHeight="1"/>
    <row r="402" s="18" customFormat="1" ht="16.5" customHeight="1"/>
    <row r="403" s="18" customFormat="1" ht="16.5" customHeight="1"/>
    <row r="404" s="18" customFormat="1" ht="16.5" customHeight="1"/>
    <row r="405" s="18" customFormat="1" ht="16.5" customHeight="1"/>
    <row r="406" s="18" customFormat="1" ht="16.5" customHeight="1"/>
    <row r="407" s="18" customFormat="1" ht="16.5" customHeight="1"/>
    <row r="408" s="18" customFormat="1" ht="16.5" customHeight="1"/>
    <row r="409" s="18" customFormat="1" ht="16.5" customHeight="1"/>
    <row r="410" s="18" customFormat="1" ht="16.5" customHeight="1"/>
    <row r="411" s="18" customFormat="1" ht="16.5" customHeight="1"/>
    <row r="412" s="18" customFormat="1" ht="16.5" customHeight="1"/>
    <row r="413" s="18" customFormat="1" ht="16.5" customHeight="1"/>
    <row r="414" s="18" customFormat="1" ht="16.5" customHeight="1"/>
    <row r="415" s="18" customFormat="1" ht="16.5" customHeight="1"/>
    <row r="416" s="18" customFormat="1" ht="16.5" customHeight="1"/>
    <row r="417" s="18" customFormat="1" ht="16.5" customHeight="1"/>
    <row r="418" s="18" customFormat="1" ht="16.5" customHeight="1"/>
    <row r="419" s="18" customFormat="1" ht="16.5" customHeight="1"/>
    <row r="420" s="18" customFormat="1" ht="16.5" customHeight="1"/>
    <row r="421" s="18" customFormat="1" ht="16.5" customHeight="1"/>
    <row r="422" s="18" customFormat="1" ht="16.5" customHeight="1"/>
    <row r="423" s="18" customFormat="1" ht="16.5" customHeight="1"/>
    <row r="424" s="18" customFormat="1" ht="16.5" customHeight="1"/>
    <row r="425" s="18" customFormat="1" ht="16.5" customHeight="1"/>
    <row r="426" s="18" customFormat="1" ht="16.5" customHeight="1"/>
    <row r="427" s="18" customFormat="1" ht="16.5" customHeight="1"/>
    <row r="428" s="18" customFormat="1" ht="16.5" customHeight="1"/>
    <row r="429" s="18" customFormat="1" ht="16.5" customHeight="1"/>
    <row r="430" s="18" customFormat="1" ht="16.5" customHeight="1"/>
    <row r="431" s="18" customFormat="1" ht="16.5" customHeight="1"/>
    <row r="432" s="18" customFormat="1" ht="16.5" customHeight="1"/>
    <row r="433" s="18" customFormat="1" ht="16.5" customHeight="1"/>
    <row r="434" s="18" customFormat="1" ht="16.5" customHeight="1"/>
    <row r="435" s="18" customFormat="1" ht="16.5" customHeight="1"/>
    <row r="436" s="18" customFormat="1" ht="16.5" customHeight="1"/>
    <row r="437" s="18" customFormat="1" ht="16.5" customHeight="1"/>
    <row r="438" s="18" customFormat="1" ht="16.5" customHeight="1"/>
    <row r="439" s="18" customFormat="1" ht="16.5" customHeight="1"/>
    <row r="440" s="18" customFormat="1" ht="16.5" customHeight="1"/>
    <row r="441" s="18" customFormat="1" ht="16.5" customHeight="1"/>
    <row r="442" s="18" customFormat="1" ht="16.5" customHeight="1"/>
    <row r="443" s="18" customFormat="1" ht="16.5" customHeight="1"/>
    <row r="444" s="18" customFormat="1" ht="16.5" customHeight="1"/>
    <row r="445" s="18" customFormat="1" ht="16.5" customHeight="1"/>
    <row r="446" s="18" customFormat="1" ht="16.5" customHeight="1"/>
    <row r="447" s="18" customFormat="1" ht="16.5" customHeight="1"/>
    <row r="448" s="18" customFormat="1" ht="16.5" customHeight="1"/>
    <row r="449" s="18" customFormat="1" ht="16.5" customHeight="1"/>
    <row r="450" s="18" customFormat="1" ht="16.5" customHeight="1"/>
    <row r="451" s="18" customFormat="1" ht="16.5" customHeight="1"/>
    <row r="452" s="18" customFormat="1" ht="16.5" customHeight="1"/>
    <row r="453" s="18" customFormat="1" ht="16.5" customHeight="1"/>
    <row r="454" s="18" customFormat="1" ht="16.5" customHeight="1"/>
    <row r="455" s="18" customFormat="1" ht="16.5" customHeight="1"/>
    <row r="456" s="18" customFormat="1" ht="16.5" customHeight="1"/>
    <row r="457" s="18" customFormat="1" ht="16.5" customHeight="1"/>
    <row r="458" s="18" customFormat="1" ht="16.5" customHeight="1"/>
    <row r="459" s="18" customFormat="1" ht="16.5" customHeight="1"/>
    <row r="460" s="18" customFormat="1" ht="16.5" customHeight="1"/>
    <row r="461" s="18" customFormat="1" ht="16.5" customHeight="1"/>
    <row r="462" s="18" customFormat="1" ht="16.5" customHeight="1"/>
    <row r="463" s="18" customFormat="1" ht="16.5" customHeight="1"/>
    <row r="464" s="18" customFormat="1" ht="16.5" customHeight="1"/>
    <row r="465" s="18" customFormat="1" ht="16.5" customHeight="1"/>
    <row r="466" s="18" customFormat="1" ht="16.5" customHeight="1"/>
    <row r="467" s="18" customFormat="1" ht="16.5" customHeight="1"/>
    <row r="468" s="18" customFormat="1" ht="16.5" customHeight="1"/>
    <row r="469" s="18" customFormat="1" ht="16.5" customHeight="1"/>
    <row r="470" s="18" customFormat="1" ht="16.5" customHeight="1"/>
    <row r="471" s="18" customFormat="1" ht="16.5" customHeight="1"/>
    <row r="472" s="18" customFormat="1" ht="16.5" customHeight="1"/>
    <row r="473" s="18" customFormat="1" ht="16.5" customHeight="1"/>
    <row r="474" s="18" customFormat="1" ht="16.5" customHeight="1"/>
    <row r="475" s="18" customFormat="1" ht="16.5" customHeight="1"/>
    <row r="476" s="18" customFormat="1" ht="16.5" customHeight="1"/>
    <row r="477" s="18" customFormat="1" ht="16.5" customHeight="1"/>
    <row r="478" s="18" customFormat="1" ht="16.5" customHeight="1"/>
    <row r="479" s="18" customFormat="1" ht="16.5" customHeight="1"/>
    <row r="480" s="18" customFormat="1" ht="16.5" customHeight="1"/>
    <row r="481" s="18" customFormat="1" ht="16.5" customHeight="1"/>
    <row r="482" s="18" customFormat="1" ht="16.5" customHeight="1"/>
    <row r="483" s="18" customFormat="1" ht="16.5" customHeight="1"/>
    <row r="484" s="18" customFormat="1" ht="16.5" customHeight="1"/>
    <row r="485" s="18" customFormat="1" ht="16.5" customHeight="1"/>
    <row r="486" s="18" customFormat="1" ht="16.5" customHeight="1"/>
    <row r="487" s="18" customFormat="1" ht="16.5" customHeight="1"/>
    <row r="488" s="18" customFormat="1" ht="16.5" customHeight="1"/>
    <row r="489" s="18" customFormat="1" ht="16.5" customHeight="1"/>
    <row r="490" s="18" customFormat="1" ht="16.5" customHeight="1"/>
    <row r="491" s="18" customFormat="1" ht="16.5" customHeight="1"/>
    <row r="492" s="18" customFormat="1" ht="16.5" customHeight="1"/>
    <row r="493" s="18" customFormat="1" ht="16.5" customHeight="1"/>
    <row r="494" s="18" customFormat="1" ht="16.5" customHeight="1"/>
    <row r="495" s="18" customFormat="1" ht="16.5" customHeight="1"/>
    <row r="496" s="18" customFormat="1" ht="16.5" customHeight="1"/>
    <row r="497" s="18" customFormat="1" ht="16.5" customHeight="1"/>
    <row r="498" s="18" customFormat="1" ht="16.5" customHeight="1"/>
    <row r="499" s="18" customFormat="1" ht="16.5" customHeight="1"/>
    <row r="500" s="18" customFormat="1" ht="16.5" customHeight="1"/>
    <row r="501" s="18" customFormat="1" ht="16.5" customHeight="1"/>
    <row r="502" s="18" customFormat="1" ht="16.5" customHeight="1"/>
    <row r="503" s="18" customFormat="1" ht="16.5" customHeight="1"/>
    <row r="504" s="18" customFormat="1" ht="16.5" customHeight="1"/>
    <row r="505" s="18" customFormat="1" ht="16.5" customHeight="1"/>
    <row r="506" s="18" customFormat="1" ht="16.5" customHeight="1"/>
    <row r="507" s="18" customFormat="1" ht="16.5" customHeight="1"/>
    <row r="508" s="18" customFormat="1" ht="16.5" customHeight="1"/>
    <row r="509" s="18" customFormat="1" ht="16.5" customHeight="1"/>
    <row r="510" s="18" customFormat="1" ht="16.5" customHeight="1"/>
    <row r="511" s="18" customFormat="1" ht="16.5" customHeight="1"/>
    <row r="512" s="18" customFormat="1" ht="16.5" customHeight="1"/>
    <row r="513" s="18" customFormat="1" ht="16.5" customHeight="1"/>
    <row r="514" s="18" customFormat="1" ht="16.5" customHeight="1"/>
    <row r="515" s="18" customFormat="1" ht="16.5" customHeight="1"/>
    <row r="516" s="18" customFormat="1" ht="16.5" customHeight="1"/>
    <row r="517" s="18" customFormat="1" ht="16.5" customHeight="1"/>
    <row r="518" s="18" customFormat="1" ht="16.5" customHeight="1"/>
    <row r="519" s="18" customFormat="1" ht="16.5" customHeight="1"/>
    <row r="520" s="18" customFormat="1" ht="16.5" customHeight="1"/>
    <row r="521" s="18" customFormat="1" ht="16.5" customHeight="1"/>
    <row r="522" s="18" customFormat="1" ht="16.5" customHeight="1"/>
    <row r="523" s="18" customFormat="1" ht="16.5" customHeight="1"/>
    <row r="524" s="18" customFormat="1" ht="16.5" customHeight="1"/>
    <row r="525" s="18" customFormat="1" ht="16.5" customHeight="1"/>
    <row r="526" s="18" customFormat="1" ht="16.5" customHeight="1"/>
    <row r="527" s="18" customFormat="1" ht="16.5" customHeight="1"/>
    <row r="528" s="18" customFormat="1" ht="16.5" customHeight="1"/>
    <row r="529" s="18" customFormat="1" ht="16.5" customHeight="1"/>
    <row r="530" s="18" customFormat="1" ht="16.5" customHeight="1"/>
    <row r="531" s="18" customFormat="1" ht="16.5" customHeight="1"/>
    <row r="532" s="18" customFormat="1" ht="16.5" customHeight="1"/>
    <row r="533" s="18" customFormat="1" ht="16.5" customHeight="1"/>
    <row r="534" s="18" customFormat="1" ht="16.5" customHeight="1"/>
    <row r="535" s="18" customFormat="1" ht="16.5" customHeight="1"/>
    <row r="536" s="18" customFormat="1" ht="16.5" customHeight="1"/>
    <row r="537" s="18" customFormat="1" ht="16.5" customHeight="1"/>
    <row r="538" s="18" customFormat="1" ht="16.5" customHeight="1"/>
    <row r="539" s="18" customFormat="1" ht="16.5" customHeight="1"/>
    <row r="540" s="18" customFormat="1" ht="16.5" customHeight="1"/>
    <row r="541" s="18" customFormat="1" ht="16.5" customHeight="1"/>
    <row r="542" s="18" customFormat="1" ht="16.5" customHeight="1"/>
    <row r="543" s="18" customFormat="1" ht="16.5" customHeight="1"/>
    <row r="544" s="18" customFormat="1" ht="16.5" customHeight="1"/>
    <row r="545" s="18" customFormat="1" ht="16.5" customHeight="1"/>
    <row r="546" s="18" customFormat="1" ht="16.5" customHeight="1"/>
    <row r="547" s="18" customFormat="1" ht="16.5" customHeight="1"/>
    <row r="548" s="18" customFormat="1" ht="16.5" customHeight="1"/>
    <row r="549" s="18" customFormat="1" ht="16.5" customHeight="1"/>
    <row r="550" s="18" customFormat="1" ht="16.5" customHeight="1"/>
    <row r="551" s="18" customFormat="1" ht="16.5" customHeight="1"/>
    <row r="552" s="18" customFormat="1" ht="16.5" customHeight="1"/>
    <row r="553" s="18" customFormat="1" ht="16.5" customHeight="1"/>
    <row r="554" s="18" customFormat="1" ht="16.5" customHeight="1"/>
    <row r="555" s="18" customFormat="1" ht="16.5" customHeight="1"/>
    <row r="556" s="18" customFormat="1" ht="16.5" customHeight="1"/>
    <row r="557" s="18" customFormat="1" ht="16.5" customHeight="1"/>
    <row r="558" s="18" customFormat="1" ht="16.5" customHeight="1"/>
    <row r="559" s="18" customFormat="1" ht="16.5" customHeight="1"/>
    <row r="560" s="18" customFormat="1" ht="16.5" customHeight="1"/>
    <row r="561" s="18" customFormat="1" ht="16.5" customHeight="1"/>
    <row r="562" s="18" customFormat="1" ht="16.5" customHeight="1"/>
    <row r="563" s="18" customFormat="1" ht="16.5" customHeight="1"/>
    <row r="564" s="18" customFormat="1" ht="16.5" customHeight="1"/>
    <row r="565" s="18" customFormat="1" ht="16.5" customHeight="1"/>
    <row r="566" s="18" customFormat="1" ht="16.5" customHeight="1"/>
    <row r="567" s="18" customFormat="1" ht="16.5" customHeight="1"/>
    <row r="568" s="18" customFormat="1" ht="16.5" customHeight="1"/>
    <row r="569" s="18" customFormat="1" ht="16.5" customHeight="1"/>
    <row r="570" s="18" customFormat="1" ht="16.5" customHeight="1"/>
    <row r="571" s="18" customFormat="1" ht="16.5" customHeight="1"/>
    <row r="572" s="18" customFormat="1" ht="16.5" customHeight="1"/>
    <row r="573" s="18" customFormat="1" ht="16.5" customHeight="1"/>
    <row r="574" s="18" customFormat="1" ht="16.5" customHeight="1"/>
    <row r="575" s="18" customFormat="1" ht="16.5" customHeight="1"/>
    <row r="576" s="18" customFormat="1" ht="16.5" customHeight="1"/>
    <row r="577" s="18" customFormat="1" ht="16.5" customHeight="1"/>
    <row r="578" s="18" customFormat="1" ht="16.5" customHeight="1"/>
    <row r="579" s="18" customFormat="1" ht="16.5" customHeight="1"/>
    <row r="580" s="18" customFormat="1" ht="16.5" customHeight="1"/>
    <row r="581" s="18" customFormat="1" ht="16.5" customHeight="1"/>
    <row r="582" s="18" customFormat="1" ht="16.5" customHeight="1"/>
    <row r="583" s="18" customFormat="1" ht="16.5" customHeight="1"/>
    <row r="584" s="18" customFormat="1" ht="16.5" customHeight="1"/>
    <row r="585" s="18" customFormat="1" ht="16.5" customHeight="1"/>
    <row r="586" s="18" customFormat="1" ht="16.5" customHeight="1"/>
    <row r="587" s="18" customFormat="1" ht="16.5" customHeight="1"/>
    <row r="588" s="18" customFormat="1" ht="16.5" customHeight="1"/>
    <row r="589" s="18" customFormat="1" ht="16.5" customHeight="1"/>
    <row r="590" s="18" customFormat="1" ht="16.5" customHeight="1"/>
    <row r="591" s="18" customFormat="1" ht="16.5" customHeight="1"/>
    <row r="592" s="18" customFormat="1" ht="16.5" customHeight="1"/>
    <row r="593" s="18" customFormat="1" ht="16.5" customHeight="1"/>
    <row r="594" s="18" customFormat="1" ht="16.5" customHeight="1"/>
  </sheetData>
  <mergeCells count="18">
    <mergeCell ref="P3:S3"/>
    <mergeCell ref="P1:S1"/>
    <mergeCell ref="B2:B3"/>
    <mergeCell ref="A2:A3"/>
    <mergeCell ref="C2:C3"/>
    <mergeCell ref="D1:O2"/>
    <mergeCell ref="S27:T27"/>
    <mergeCell ref="U27:V27"/>
    <mergeCell ref="C26:H26"/>
    <mergeCell ref="J26:O26"/>
    <mergeCell ref="Q26:V26"/>
    <mergeCell ref="C27:D27"/>
    <mergeCell ref="E27:F27"/>
    <mergeCell ref="G27:H27"/>
    <mergeCell ref="J27:K27"/>
    <mergeCell ref="L27:M27"/>
    <mergeCell ref="N27:O27"/>
    <mergeCell ref="Q27:R27"/>
  </mergeCells>
  <pageMargins left="0.7" right="0.7" top="0.75" bottom="0.75" header="0.3" footer="0.3"/>
  <headerFooter>
    <oddFooter>&amp;R_x000D_&amp;1#&amp;"Calibri"&amp;8&amp;K000000 Cisco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F9FA14C64E5C408EF451846AED2714" ma:contentTypeVersion="13" ma:contentTypeDescription="Create a new document." ma:contentTypeScope="" ma:versionID="326ed3dd011f0f3fb73abcab1e540cb6">
  <xsd:schema xmlns:xsd="http://www.w3.org/2001/XMLSchema" xmlns:xs="http://www.w3.org/2001/XMLSchema" xmlns:p="http://schemas.microsoft.com/office/2006/metadata/properties" xmlns:ns2="d7a42288-6dd2-4d7c-bc43-253fb2924eee" xmlns:ns3="d9415f13-3030-419a-be9b-e5411acb7e95" targetNamespace="http://schemas.microsoft.com/office/2006/metadata/properties" ma:root="true" ma:fieldsID="a79f9c6a32091e64d14d30b0d30232d8" ns2:_="" ns3:_="">
    <xsd:import namespace="d7a42288-6dd2-4d7c-bc43-253fb2924eee"/>
    <xsd:import namespace="d9415f13-3030-419a-be9b-e5411acb7e95"/>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a42288-6dd2-4d7c-bc43-253fb2924ee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415f13-3030-419a-be9b-e5411acb7e95"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168c6d8-f650-4a65-a55f-70b75074a347}" ma:internalName="TaxCatchAll" ma:showField="CatchAllData" ma:web="d9415f13-3030-419a-be9b-e5411acb7e9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a42288-6dd2-4d7c-bc43-253fb2924eee">
      <Terms xmlns="http://schemas.microsoft.com/office/infopath/2007/PartnerControls"/>
    </lcf76f155ced4ddcb4097134ff3c332f>
    <TaxCatchAll xmlns="d9415f13-3030-419a-be9b-e5411acb7e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A186DF-2E36-4DE0-B0B7-8364AA50A106}"/>
</file>

<file path=customXml/itemProps2.xml><?xml version="1.0" encoding="utf-8"?>
<ds:datastoreItem xmlns:ds="http://schemas.openxmlformats.org/officeDocument/2006/customXml" ds:itemID="{4F5F6677-905A-4EF4-9B9B-8A381C1C869F}"/>
</file>

<file path=customXml/itemProps3.xml><?xml version="1.0" encoding="utf-8"?>
<ds:datastoreItem xmlns:ds="http://schemas.openxmlformats.org/officeDocument/2006/customXml" ds:itemID="{1E25BB71-BF59-450F-A501-84BB2CEA1313}"/>
</file>

<file path=docProps/app.xml><?xml version="1.0" encoding="utf-8"?>
<Properties xmlns="http://schemas.openxmlformats.org/officeDocument/2006/extended-properties" xmlns:vt="http://schemas.openxmlformats.org/officeDocument/2006/docPropsVTypes">
  <Application>Microsoft Excel Online</Application>
  <Manager/>
  <Company>Cisco Systems,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 Ramachandran (jearamac)</dc:creator>
  <cp:keywords/>
  <dc:description/>
  <cp:lastModifiedBy/>
  <cp:revision/>
  <dcterms:created xsi:type="dcterms:W3CDTF">2023-10-04T09:45:16Z</dcterms:created>
  <dcterms:modified xsi:type="dcterms:W3CDTF">2025-02-25T05:28:41Z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0x01010078F9FA14C64E5C408EF451846AED2714</vt:lpwstr>
  </property>
  <property fmtid="{D5CDD505-2E9C-101B-9397-08002B2CF9AE}" pid="3" name="MSIP_Label_c8f49a32-fde3-48a5-9266-b5b0972a22dc_Enabled">
    <vt:lpwstr>true</vt:lpwstr>
  </property>
  <property fmtid="{D5CDD505-2E9C-101B-9397-08002B2CF9AE}" pid="4" name="MSIP_Label_c8f49a32-fde3-48a5-9266-b5b0972a22dc_SetDate">
    <vt:lpwstr>2025-02-13T06:37:54Z</vt:lpwstr>
  </property>
  <property fmtid="{D5CDD505-2E9C-101B-9397-08002B2CF9AE}" pid="5" name="MSIP_Label_c8f49a32-fde3-48a5-9266-b5b0972a22dc_Method">
    <vt:lpwstr>Standard</vt:lpwstr>
  </property>
  <property fmtid="{D5CDD505-2E9C-101B-9397-08002B2CF9AE}" pid="6" name="MSIP_Label_c8f49a32-fde3-48a5-9266-b5b0972a22dc_Name">
    <vt:lpwstr>Cisco Confidential</vt:lpwstr>
  </property>
  <property fmtid="{D5CDD505-2E9C-101B-9397-08002B2CF9AE}" pid="7" name="MSIP_Label_c8f49a32-fde3-48a5-9266-b5b0972a22dc_SiteId">
    <vt:lpwstr>5ae1af62-9505-4097-a69a-c1553ef7840e</vt:lpwstr>
  </property>
  <property fmtid="{D5CDD505-2E9C-101B-9397-08002B2CF9AE}" pid="8" name="MSIP_Label_c8f49a32-fde3-48a5-9266-b5b0972a22dc_ActionId">
    <vt:lpwstr>5813075b-3ddf-42e1-b062-68652ba24a65</vt:lpwstr>
  </property>
  <property fmtid="{D5CDD505-2E9C-101B-9397-08002B2CF9AE}" pid="9" name="MSIP_Label_c8f49a32-fde3-48a5-9266-b5b0972a22dc_ContentBits">
    <vt:lpwstr>2</vt:lpwstr>
  </property>
  <property fmtid="{D5CDD505-2E9C-101B-9397-08002B2CF9AE}" pid="10" name="MediaServiceImageTags">
    <vt:lpwstr/>
  </property>
</Properties>
</file>